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USER2\Scan\03_Проекты\Просчеты\ДС на Королёва\"/>
    </mc:Choice>
  </mc:AlternateContent>
  <xr:revisionPtr revIDLastSave="0" documentId="13_ncr:1_{AFE5DD9A-7FF6-4B88-8C27-D5E7A1CB54D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СС" sheetId="9" r:id="rId1"/>
    <sheet name="СОТ" sheetId="10" r:id="rId2"/>
    <sheet name="АН" sheetId="7" r:id="rId3"/>
    <sheet name="АК" sheetId="1" r:id="rId4"/>
    <sheet name="СКУД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9" i="1" l="1"/>
  <c r="G70" i="1"/>
  <c r="G59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60" i="11"/>
  <c r="G61" i="11"/>
  <c r="G62" i="11"/>
  <c r="G63" i="11"/>
  <c r="G64" i="11"/>
  <c r="G65" i="11"/>
  <c r="G66" i="11"/>
  <c r="G67" i="11"/>
  <c r="G68" i="11"/>
  <c r="G69" i="11"/>
  <c r="G70" i="11"/>
  <c r="G4" i="11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1" i="10"/>
  <c r="G22" i="10"/>
  <c r="G23" i="10"/>
  <c r="G24" i="10"/>
  <c r="G25" i="10"/>
  <c r="G26" i="10"/>
  <c r="G27" i="10"/>
  <c r="G74" i="10" s="1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5" i="10"/>
  <c r="G66" i="10"/>
  <c r="G67" i="10"/>
  <c r="G68" i="10"/>
  <c r="G4" i="10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3" i="9"/>
  <c r="G24" i="9"/>
  <c r="G25" i="9"/>
  <c r="G26" i="9"/>
  <c r="G27" i="9"/>
  <c r="G28" i="9"/>
  <c r="G29" i="9"/>
  <c r="G30" i="9"/>
  <c r="G31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7" i="9"/>
  <c r="G68" i="9"/>
  <c r="G4" i="9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5" i="7"/>
  <c r="G36" i="7"/>
  <c r="G37" i="7"/>
  <c r="G38" i="7"/>
  <c r="G41" i="7"/>
  <c r="G42" i="7"/>
  <c r="G43" i="7"/>
  <c r="G44" i="7"/>
  <c r="G45" i="7"/>
  <c r="G46" i="7"/>
  <c r="G47" i="7"/>
  <c r="G48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3" i="7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5" i="1"/>
  <c r="G26" i="1"/>
  <c r="G28" i="1"/>
  <c r="G31" i="1"/>
  <c r="G32" i="1"/>
  <c r="G33" i="1"/>
  <c r="G35" i="1"/>
  <c r="G36" i="1"/>
  <c r="G37" i="1"/>
  <c r="G38" i="1"/>
  <c r="G40" i="1"/>
  <c r="G41" i="1"/>
  <c r="G42" i="1"/>
  <c r="G44" i="1"/>
  <c r="G45" i="1"/>
  <c r="G46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4" i="1"/>
  <c r="G65" i="1"/>
  <c r="G66" i="1"/>
  <c r="G71" i="1"/>
  <c r="G73" i="1"/>
  <c r="G75" i="1"/>
  <c r="G2" i="1"/>
  <c r="G77" i="11" l="1"/>
  <c r="G70" i="7"/>
  <c r="G80" i="1"/>
  <c r="G74" i="9"/>
</calcChain>
</file>

<file path=xl/sharedStrings.xml><?xml version="1.0" encoding="utf-8"?>
<sst xmlns="http://schemas.openxmlformats.org/spreadsheetml/2006/main" count="901" uniqueCount="541">
  <si>
    <t>Многофункциональный контроллер в компл. с датчиком температуры</t>
  </si>
  <si>
    <t>Датчик воды с компл. кабелем 3м</t>
  </si>
  <si>
    <t>Автоматический выключатель, трехполюсный, характеристика расцепителя С,Iрасц.=16А</t>
  </si>
  <si>
    <t>Автоматический выключатель, однополюсный, характеристика расцепителя С, Iрасц.=4А</t>
  </si>
  <si>
    <t>Щит автоматики закрытого исполнения, навесной, размером 800х650х250, IP31</t>
  </si>
  <si>
    <t>ЩМП-4-0</t>
  </si>
  <si>
    <t>шт</t>
  </si>
  <si>
    <t>ВА47-29 3Р 16А</t>
  </si>
  <si>
    <t>ВА47-29 1Р 4А</t>
  </si>
  <si>
    <t>Дифференциальный выключатель, трехполюсный, характеристика расцепителя С,Iрасц.=10А, I=30мА</t>
  </si>
  <si>
    <t>АВДТ32 30мА, Iрасц.=10,0А, ~380В</t>
  </si>
  <si>
    <t>Реле промежуточное, электромагнитное ~220 B 4 перекл. контакт.</t>
  </si>
  <si>
    <t>РЭК77/4</t>
  </si>
  <si>
    <t>Разъем для реле промежуточных</t>
  </si>
  <si>
    <t>РРМ77/4</t>
  </si>
  <si>
    <t>Кнопка, толкатель зелёный, "Пуск"</t>
  </si>
  <si>
    <t>АЕА-22</t>
  </si>
  <si>
    <t>Светосигнальный индикатор, ~220В, "Работа", зелёная</t>
  </si>
  <si>
    <t>АD-22DS</t>
  </si>
  <si>
    <t>Светосигнальный индикатор, ~220В, "Авария", красная</t>
  </si>
  <si>
    <t>Двухуровневый зажим с диодами</t>
  </si>
  <si>
    <t>DAS.4/LI</t>
  </si>
  <si>
    <t>Клеммный зажим, серый</t>
  </si>
  <si>
    <t>ЗНИ-2,5</t>
  </si>
  <si>
    <t>Рамка для надписей</t>
  </si>
  <si>
    <t>РПМ-66</t>
  </si>
  <si>
    <t>ДМ2005Сг</t>
  </si>
  <si>
    <t>Манометор</t>
  </si>
  <si>
    <t>КР4Б ТУ3464-014-11440392-97</t>
  </si>
  <si>
    <t>Кабель канал 40х30 длиной 2000мм</t>
  </si>
  <si>
    <t>Звонок переменного тока</t>
  </si>
  <si>
    <t>ЗВП-220</t>
  </si>
  <si>
    <t>Монтажная DIN рейка на 35мм, L = 600мм</t>
  </si>
  <si>
    <t>Шина 1-но фазная (PE), 100A</t>
  </si>
  <si>
    <t>ШНИ-6х9-4-У2-С</t>
  </si>
  <si>
    <t>Автономная установка пожаротушения</t>
  </si>
  <si>
    <t>Парабола-200</t>
  </si>
  <si>
    <t>км</t>
  </si>
  <si>
    <t>РТ200Е</t>
  </si>
  <si>
    <t>комп.</t>
  </si>
  <si>
    <t>TSW01-3,0</t>
  </si>
  <si>
    <t>Датчик - реле уровня</t>
  </si>
  <si>
    <t>РОС-301 УХЛ3.1-1-0,25-0,25-0,25</t>
  </si>
  <si>
    <t>ТУ 4218-037-42334258-2006</t>
  </si>
  <si>
    <t>Электрический дератизатор в составе:</t>
  </si>
  <si>
    <t>ОХРА-Д-333</t>
  </si>
  <si>
    <t>Блок преобразователя импульсный</t>
  </si>
  <si>
    <t>Блок высоковольтного усилителя</t>
  </si>
  <si>
    <t>Барьер электризуемый</t>
  </si>
  <si>
    <t>м/шт</t>
  </si>
  <si>
    <t>7,5/5</t>
  </si>
  <si>
    <t>КВВГнг(А)-LSLTx</t>
  </si>
  <si>
    <t>КВВГнг(А)-FRLSLTx</t>
  </si>
  <si>
    <t>ВВГнг (А)-LSLTx</t>
  </si>
  <si>
    <t>м</t>
  </si>
  <si>
    <t>ПВМТ-40</t>
  </si>
  <si>
    <t>ГОСТ 8734-75</t>
  </si>
  <si>
    <t>Труба стальная электросварная наружный диаметр 20х1,6мм</t>
  </si>
  <si>
    <t>ГОСТ 10704-91</t>
  </si>
  <si>
    <t>Труба стальная электросварная наружный диаметр 50х2,5мм</t>
  </si>
  <si>
    <t>Труба ПВХ гладкая, жесткая, Дн=20мм</t>
  </si>
  <si>
    <t>ТУ 2248-001-18461115-2010</t>
  </si>
  <si>
    <t>Труба ПВХ гибкая, гофрированная, Дн=20мм</t>
  </si>
  <si>
    <t>ТУ 2248-002-18461115-2010</t>
  </si>
  <si>
    <t>Труба ПНД гибкая, гофрированная, Дн=100мм</t>
  </si>
  <si>
    <t>Лоток 200мм, L = 2000мм</t>
  </si>
  <si>
    <t>НЛ20-П1,87У3  ТУ 36-2486-82</t>
  </si>
  <si>
    <t>Лоток 100мм, L = 2000мм</t>
  </si>
  <si>
    <t>НЛ10-П1,87У3  ТУ 36-2486-82</t>
  </si>
  <si>
    <t>Перегородка, L=2000мм</t>
  </si>
  <si>
    <t>SEP50</t>
  </si>
  <si>
    <t>Шпилька резьбовая оцинкованная</t>
  </si>
  <si>
    <t>М8х300  ТУ 36-1451-82</t>
  </si>
  <si>
    <t>Консоль (одиночная, 41х21), L=250мм</t>
  </si>
  <si>
    <t>BBP-21</t>
  </si>
  <si>
    <t>Кабельный канал, 40/2х16мм, длиной 2000мм</t>
  </si>
  <si>
    <t>СКК10-040-016-2-К01/30</t>
  </si>
  <si>
    <t>Кабельный канал, 40х16мм, длиной 2000мм</t>
  </si>
  <si>
    <t>СКК10-040-016-1-К01/30</t>
  </si>
  <si>
    <t>Кабельный канал, 25х25мм, длиной 2000мм</t>
  </si>
  <si>
    <t>СКК10-025-025-1-К01/84</t>
  </si>
  <si>
    <t>Закладная конструкция</t>
  </si>
  <si>
    <t>ЗК4-223-89</t>
  </si>
  <si>
    <t>Коробка соединительная, на 10 зажимов, IP54</t>
  </si>
  <si>
    <t>КСП-10</t>
  </si>
  <si>
    <t>Коробка соединительная, 10 зажимов, 3 вывода, IP55</t>
  </si>
  <si>
    <t>Обвязка</t>
  </si>
  <si>
    <t>ОП-109</t>
  </si>
  <si>
    <t>Коробка пластиковая для разводки проводов, IP44</t>
  </si>
  <si>
    <t>Коробка  распаечная 55х55х32мм, 2 клеммы, до 4 кв.мм, IP44, белая</t>
  </si>
  <si>
    <t>Сетка стальная штукатурная шириной 1м с ячейкой 10мм</t>
  </si>
  <si>
    <t>6. Приборы и средства автоматизации ворот</t>
  </si>
  <si>
    <t>Электропривод распашных ворот</t>
  </si>
  <si>
    <t>Swing-5000-PRO</t>
  </si>
  <si>
    <t>Блок управления</t>
  </si>
  <si>
    <t>PCB-SW</t>
  </si>
  <si>
    <t>3-хпозиционный блок управления</t>
  </si>
  <si>
    <t>BUTTON3</t>
  </si>
  <si>
    <t>2. Кабели и провода</t>
  </si>
  <si>
    <t>4х2,5 мм²</t>
  </si>
  <si>
    <t>7х1,0 мм²</t>
  </si>
  <si>
    <t>3. Трубы неметаллические</t>
  </si>
  <si>
    <t>Труба ПНД гибкая, двустенная, гофрированная, Дн=50мм</t>
  </si>
  <si>
    <t>ТУ 2248-015-47022248-2006</t>
  </si>
  <si>
    <t>4. Монтажные изделия</t>
  </si>
  <si>
    <t>шт.</t>
  </si>
  <si>
    <t>ОБОРУДОВАНИЕ ОХРАНО-ПОЖАРНОЙ СИГНАЛИЗАЦИИ И ОПОВЕЩЕНИЯ О ПОЖАРЕ</t>
  </si>
  <si>
    <t>Прибор приемно-контрольный и управления пожарный с дополнительным модулем</t>
  </si>
  <si>
    <t>"Сириус" с доп. "С2000-КДЛ-С"</t>
  </si>
  <si>
    <t>Аккумуляторная батарея 17 Ач</t>
  </si>
  <si>
    <t>АКБ 17</t>
  </si>
  <si>
    <t>Контроллер двухпроводной линии связи с гальванической изоляцией</t>
  </si>
  <si>
    <t>"С2000-КДЛ-2И исп.01 "</t>
  </si>
  <si>
    <t>Блок индикации с клавиатурой</t>
  </si>
  <si>
    <t>"С2000-БКИ"</t>
  </si>
  <si>
    <t>Шкаф с резервированным источником питания для монтажа средств ШПС-12 пожарной автоматики</t>
  </si>
  <si>
    <t>ШПС-12</t>
  </si>
  <si>
    <t>Блок сигнально-пусковой</t>
  </si>
  <si>
    <t>"С2000-СП1 исп.01 "</t>
  </si>
  <si>
    <t>Контрольно-пусковой блок</t>
  </si>
  <si>
    <t>"С2000-КПБ"</t>
  </si>
  <si>
    <t>Резервированный источник питания</t>
  </si>
  <si>
    <t>РИП-12 исп.56</t>
  </si>
  <si>
    <t>Извещатель пожарный дымовой</t>
  </si>
  <si>
    <t>ДИП34А-03</t>
  </si>
  <si>
    <t>Монтажный комплект для крепления в подвесной потолок</t>
  </si>
  <si>
    <t>МК-2</t>
  </si>
  <si>
    <t>Трос ∅3мм</t>
  </si>
  <si>
    <t>Извещатель пожарный ручной</t>
  </si>
  <si>
    <t>ИПР 513-3АМ</t>
  </si>
  <si>
    <t>Извещатель пожарный тепловой адресно-аналоговый</t>
  </si>
  <si>
    <t>С2000-ИП-03</t>
  </si>
  <si>
    <t>Блок разветвительно-изолирующий</t>
  </si>
  <si>
    <t>«Бриз»</t>
  </si>
  <si>
    <t>ОБЪЕКТОВАЯ СТАНЦИЯ</t>
  </si>
  <si>
    <t>Объектовая станция Стрелец-Мониторинг</t>
  </si>
  <si>
    <t>РСПИ исп.2 МВК СМ 146</t>
  </si>
  <si>
    <t>Базовая антенна Н=1,2м</t>
  </si>
  <si>
    <t>Блок бесперебойного питания с АКБ 7А/ч</t>
  </si>
  <si>
    <t>Комплект принадлежностей</t>
  </si>
  <si>
    <t>Кабель коаксиальный (RG58)</t>
  </si>
  <si>
    <t>РК50 нг(А)-LSLTx</t>
  </si>
  <si>
    <t>Кабель сигнальный огнестойкий с низким дымо- и газовыделением и с низкой токсичностью
горения с числом жил и сечением: 2х 2х0,5мм</t>
  </si>
  <si>
    <t>КПСнг(А)-FRLSLT</t>
  </si>
  <si>
    <t>Прибор управления оповещением пожарный</t>
  </si>
  <si>
    <t>SPM-B10025-DW</t>
  </si>
  <si>
    <t>Кожух для моноблоков серии SPM настенного исполнения</t>
  </si>
  <si>
    <t>Sonar SPM-Cover</t>
  </si>
  <si>
    <t>Бокс под 2 АКБ 12В 40Ач</t>
  </si>
  <si>
    <t>Sonar SPM-Box</t>
  </si>
  <si>
    <t>Аккумуляторная батарея 40 Ач</t>
  </si>
  <si>
    <t>АКБ 40</t>
  </si>
  <si>
    <t>Оповещатель речевой</t>
  </si>
  <si>
    <t>SWP-103</t>
  </si>
  <si>
    <t>Оповещатель световой указатель "выход</t>
  </si>
  <si>
    <t>ОПОП 1-8</t>
  </si>
  <si>
    <t>Оповещатель комбинированный</t>
  </si>
  <si>
    <t>ОПОП 124-7</t>
  </si>
  <si>
    <t>Модуль подключения нагрузки оповещателей и исполнительных устройств к приборам</t>
  </si>
  <si>
    <t>МПН</t>
  </si>
  <si>
    <t>АВТОМАТИЗАЦИЯ ОБОРУДОВАНИЯ ПРОТИВОДЫМНОЙ ВЕНТИЛЯЦИИ</t>
  </si>
  <si>
    <t>"С2000-КДЛ-2И исп.01"</t>
  </si>
  <si>
    <t>"С2000-СП4/220</t>
  </si>
  <si>
    <t>Устройство дистанционного пуска адресное</t>
  </si>
  <si>
    <t>УДП 513-3АМ ИСП.02</t>
  </si>
  <si>
    <t>Блок сигнально-пусковой адресный</t>
  </si>
  <si>
    <t>"С2000-СП2"</t>
  </si>
  <si>
    <t>КАБЕЛИ И ПРОВОДА</t>
  </si>
  <si>
    <t>Огнестойкая кабельная линия _x0003_ПожТехКабельРТК-Line ККМОМ_x0003_ в составе:</t>
  </si>
  <si>
    <t>Кабель сигнальный огнестойкий с низким дымо- и газовыделением и с низкой токсичностью горения с числом жил и сечением:  1х2х0,75</t>
  </si>
  <si>
    <t>Кабель сигнальный огнестойкий с низким дымо- и газовыделением и с низкой токсичностью горения с числом жил и сечением:  1х2х1</t>
  </si>
  <si>
    <t>Кабель сигнальный огнестойкий с низким дымо- и газовыделением и с низкой токсичностью горения с числом жил и сечением:  2х2х0,75</t>
  </si>
  <si>
    <t>Кабели контрольные, не распространяющий горение, с низким дымо- и газовыделением, низкой токсичностью продуктов горения,огнестойкий, с числом жил и сечением</t>
  </si>
  <si>
    <t>КВВГнг(А)-FRLS 7 х0,75мм2</t>
  </si>
  <si>
    <t>Кабельный канал металлический</t>
  </si>
  <si>
    <t>ККМО 25х25</t>
  </si>
  <si>
    <t>ККМО 40х30</t>
  </si>
  <si>
    <t>Дюбель металлический 6х32</t>
  </si>
  <si>
    <t>Саморез 4,5х35</t>
  </si>
  <si>
    <t>Огнестойкая кабельная линия _x0003_ПожТехКабельРТК-Line  -РМ_x0003_ в составе:</t>
  </si>
  <si>
    <t>КПСнг(А)-FRLSLТх</t>
  </si>
  <si>
    <t>1х2х1</t>
  </si>
  <si>
    <t>Рукав металлический</t>
  </si>
  <si>
    <t>РМ 20</t>
  </si>
  <si>
    <t>Скоба однолапковая 25-26мм</t>
  </si>
  <si>
    <t>Коробка монтажная металлическая</t>
  </si>
  <si>
    <t>КМОМ (4кХ2,5м)</t>
  </si>
  <si>
    <t>Труба водогазопроводная 20</t>
  </si>
  <si>
    <t>Труба водогазопроводная  32</t>
  </si>
  <si>
    <t>Скоба однолапковая 38-40мм</t>
  </si>
  <si>
    <t>Телефонизация, интернет, телевидения.</t>
  </si>
  <si>
    <t>Шкаф телекоммуникационный настенный разборный 15U (600х520)</t>
  </si>
  <si>
    <t>ШРН-М-15.500</t>
  </si>
  <si>
    <t>ЕХ ШКОС -24У/12.LC.S.9</t>
  </si>
  <si>
    <t>Органайзер кабельный горизонтальный 19"</t>
  </si>
  <si>
    <t>ГКО-О-4.62</t>
  </si>
  <si>
    <t>Модуль вентилятор потолочный</t>
  </si>
  <si>
    <t>R-FAN-3T</t>
  </si>
  <si>
    <t>Крепежный комплект №2</t>
  </si>
  <si>
    <t>КМ-2-50</t>
  </si>
  <si>
    <t>Комплект щеточного ввода в шкаф, универсальный</t>
  </si>
  <si>
    <t>КВ-Щ-55.210А</t>
  </si>
  <si>
    <t>Блок розеток</t>
  </si>
  <si>
    <t>R-10-8S-V-440-Z</t>
  </si>
  <si>
    <t>Шнур питания с заземлением  EC 60320 C13/ EC 60320 C14, 10 А</t>
  </si>
  <si>
    <t>R-10-Cord-C13-C14-1.8</t>
  </si>
  <si>
    <t>Полка перфорированная выдвижная</t>
  </si>
  <si>
    <t>СВ-45</t>
  </si>
  <si>
    <t>Колпачек изолирующий RJ-45, черный</t>
  </si>
  <si>
    <t>Boot-BK-10</t>
  </si>
  <si>
    <t>Разъем компьютерный RJ-45, категория 5е</t>
  </si>
  <si>
    <t>RJ-45 8Р8C кат. 5е</t>
  </si>
  <si>
    <t>Комплект заземления</t>
  </si>
  <si>
    <t>Источник вторичного электропитания резервированный</t>
  </si>
  <si>
    <t>SKAT-UPS-1000  RASK</t>
  </si>
  <si>
    <t>герметичные свинцово-кислотные аккумуляторы 17  А*ч</t>
  </si>
  <si>
    <t>DIN-реика</t>
  </si>
  <si>
    <t>NS-35</t>
  </si>
  <si>
    <t>Коммутатор на 24 портоВ</t>
  </si>
  <si>
    <t>Патч-панель-24порта</t>
  </si>
  <si>
    <t>Разъем RJ-45</t>
  </si>
  <si>
    <t>упк.</t>
  </si>
  <si>
    <t>Электрочасофикация</t>
  </si>
  <si>
    <t>Электрочасы первичные</t>
  </si>
  <si>
    <t>СВР-01-1</t>
  </si>
  <si>
    <t>Часы вторичные стрелочные</t>
  </si>
  <si>
    <t>СВР-03-30</t>
  </si>
  <si>
    <t>Коробка ответвительная</t>
  </si>
  <si>
    <t>УК-2П  ГОСТ 10040-75</t>
  </si>
  <si>
    <t>Кабель типа "витая пара" сеч. 2х2х0,52 кат.5-е</t>
  </si>
  <si>
    <t>UTPнг(А) PVCLS LSLTх-5е</t>
  </si>
  <si>
    <t>Селектор на 6 абонента</t>
  </si>
  <si>
    <t>GC-1006DG</t>
  </si>
  <si>
    <t>Абонентское громкоговорящее устройство</t>
  </si>
  <si>
    <t>GC-2001P4</t>
  </si>
  <si>
    <t>Сигнальная лампа</t>
  </si>
  <si>
    <t>GC-0611W2</t>
  </si>
  <si>
    <t>Блок питания</t>
  </si>
  <si>
    <t>DR-60-12</t>
  </si>
  <si>
    <t>Источник бесперебойного питания</t>
  </si>
  <si>
    <t>БП-1А</t>
  </si>
  <si>
    <t xml:space="preserve">Огнестойкая кабельная линия "ПожТехКабельРТК-Line ККМОМ" в составе  </t>
  </si>
  <si>
    <t>Кабел сигнальный огнестойкий  низким дымо-и газовыделением и снизкой токсчностью горения с числом жил и счением 2х2х0,5</t>
  </si>
  <si>
    <t>КПСнг(А)-FRLSLTx</t>
  </si>
  <si>
    <t>Радиорозетка</t>
  </si>
  <si>
    <t>РПВ-2   ГОСТ 8659-76</t>
  </si>
  <si>
    <t>Трехпрограммныи радиоприемник</t>
  </si>
  <si>
    <t>ПТ-223 FM</t>
  </si>
  <si>
    <t>Кабель "витая пара"  Cat5e.  сеч.  2х2х0.52мм</t>
  </si>
  <si>
    <t>UTPнг(А)PVCLS LSLTх-5е</t>
  </si>
  <si>
    <t>Коробка универсальная</t>
  </si>
  <si>
    <t>УКР</t>
  </si>
  <si>
    <t>УК-2П   ГОСТ 10040-75</t>
  </si>
  <si>
    <t>Конвертер абонентскии</t>
  </si>
  <si>
    <t xml:space="preserve"> IP/СПВ FG-FCT-CON-VF/Eth</t>
  </si>
  <si>
    <t>Телефонныи аппарат аварийно-вызывной</t>
  </si>
  <si>
    <t>KX-DT333</t>
  </si>
  <si>
    <t>KX-TDA100</t>
  </si>
  <si>
    <t>KX-T7600</t>
  </si>
  <si>
    <t>Розетка RJ 45 категория 5-е</t>
  </si>
  <si>
    <t>77654N</t>
  </si>
  <si>
    <t>Каркас под 2 модуля</t>
  </si>
  <si>
    <t>F0000MB</t>
  </si>
  <si>
    <t>ТV-приставка</t>
  </si>
  <si>
    <t>SML-482  HD</t>
  </si>
  <si>
    <t>Кабель "битая пара"  Cat5e  сеч. 2х2х0.52мм</t>
  </si>
  <si>
    <t>UTPнг(А)PVCLS LSLTx-5е</t>
  </si>
  <si>
    <t>Кабель "битая пара"  Cat5e  сеч. 4х2х0.52мм</t>
  </si>
  <si>
    <t>Кабельный канал ПВХ</t>
  </si>
  <si>
    <t>25х25</t>
  </si>
  <si>
    <t>40х25</t>
  </si>
  <si>
    <t>Акустическая система</t>
  </si>
  <si>
    <t>АС-300</t>
  </si>
  <si>
    <t>Блок управления электронной сирены</t>
  </si>
  <si>
    <t>БУС-ЭС</t>
  </si>
  <si>
    <t>Антенна</t>
  </si>
  <si>
    <t>Кабель высокочастотный коаксиальный</t>
  </si>
  <si>
    <t>РК 75-3-314 нг(А)-LSLTx</t>
  </si>
  <si>
    <t>Кабель с медными жилами</t>
  </si>
  <si>
    <t>ВВГнг(А)-LSLTx 2x2,5</t>
  </si>
  <si>
    <t xml:space="preserve">Кронштейн стеновой </t>
  </si>
  <si>
    <t>ТУ2248-002-18461115-2010</t>
  </si>
  <si>
    <t>Телефонизация</t>
  </si>
  <si>
    <t>Волоконно-оптический кабель для прокладки в грунте и телефонной канализации трубах на 8 волокон</t>
  </si>
  <si>
    <t>ОКЛнг-0,22-8</t>
  </si>
  <si>
    <t>Муфта оптическая</t>
  </si>
  <si>
    <t>МОГ-С-24-1К2445</t>
  </si>
  <si>
    <t> Система охранного телевидения</t>
  </si>
  <si>
    <t>Купольная  Р-камера Видеонаблюдения</t>
  </si>
  <si>
    <t>Уличная  Р-камера Видеонаблюдения</t>
  </si>
  <si>
    <t>Монитор Видеонаблюдения</t>
  </si>
  <si>
    <t>Рабочая станция RVi Оператор РRO</t>
  </si>
  <si>
    <t>RV-WS0960</t>
  </si>
  <si>
    <t>Кабель электропитания Зх1,5 2М с разъёмами С1З-С14</t>
  </si>
  <si>
    <t>Источник бесперебойного питания, 2,2 кВт</t>
  </si>
  <si>
    <t>SMT2200I</t>
  </si>
  <si>
    <t>Устроиство грозозащиты</t>
  </si>
  <si>
    <t>RVi-PS</t>
  </si>
  <si>
    <t>Повторитель линии</t>
  </si>
  <si>
    <t>RVi-PR</t>
  </si>
  <si>
    <t>Бокс оптическии универсальный, настенный</t>
  </si>
  <si>
    <t>FO-WBY-4UN-MK</t>
  </si>
  <si>
    <t>КДЗС</t>
  </si>
  <si>
    <t>FO-FFSPS-60</t>
  </si>
  <si>
    <t>Узел доступа</t>
  </si>
  <si>
    <t>Дожадевая крыша</t>
  </si>
  <si>
    <t>NSBon-03</t>
  </si>
  <si>
    <t>Устроиство защиты питающих линии 220В</t>
  </si>
  <si>
    <t>NSBon-11</t>
  </si>
  <si>
    <t>Устроиство защиты линии Ethernet 10/100/1000М + РoE</t>
  </si>
  <si>
    <t>NSBon-15</t>
  </si>
  <si>
    <t>SFР-модуль</t>
  </si>
  <si>
    <t>SFG-L01-I</t>
  </si>
  <si>
    <t>Крепление шкафа на мачту/столо диаметр 150-300тт.</t>
  </si>
  <si>
    <t>NSBon-01-1</t>
  </si>
  <si>
    <t>Телекоммуникационныи шкаф 1SH1 В составе:</t>
  </si>
  <si>
    <t>LN35-18U68-P</t>
  </si>
  <si>
    <t>Сетевой коммутатор, 24 PoЕ портов</t>
  </si>
  <si>
    <t>RVI-1NSM24G-4C</t>
  </si>
  <si>
    <t>Сетевой коммутатор, 16 PoЕ порта</t>
  </si>
  <si>
    <t>RVI-1NS16F-3H</t>
  </si>
  <si>
    <t>DGS-1210-12TS/ME</t>
  </si>
  <si>
    <t>Видеосервер RVi Oператор PR0</t>
  </si>
  <si>
    <t>SE2800</t>
  </si>
  <si>
    <t>Жесткии диск, 16 Тб</t>
  </si>
  <si>
    <t>ST16000VE000</t>
  </si>
  <si>
    <t>SMX2200RMHV2U</t>
  </si>
  <si>
    <t>Комплект внешних батарей</t>
  </si>
  <si>
    <t>SMX120RMBP2U</t>
  </si>
  <si>
    <t>Патч панель 19" 48 портоВ</t>
  </si>
  <si>
    <t>PP48-1UC5EU-DO5</t>
  </si>
  <si>
    <t>Патч панель 19" 24 порта</t>
  </si>
  <si>
    <t>PP24-1UC5EU-DO5</t>
  </si>
  <si>
    <t>Кабельный организатор с металлическими кольцами, 19", 1U</t>
  </si>
  <si>
    <t>C005-1M4RM</t>
  </si>
  <si>
    <t>Шина заземления 48Зх25мм</t>
  </si>
  <si>
    <t>ER-12</t>
  </si>
  <si>
    <t>Комплект проводов заземления 50 см - 6шт; 80 см - Зшт</t>
  </si>
  <si>
    <t>ER12-6568</t>
  </si>
  <si>
    <t>Набор крепежа</t>
  </si>
  <si>
    <t>ITK-HP-28</t>
  </si>
  <si>
    <t>Щеточныи ВВод, 1U, серыи</t>
  </si>
  <si>
    <t>BE35-01U</t>
  </si>
  <si>
    <t>Фальш-панель 5U</t>
  </si>
  <si>
    <t>FP35-05UM</t>
  </si>
  <si>
    <t>Модуль вентиляторный, 1U 2 вентилятора с цифровым термостатом</t>
  </si>
  <si>
    <t>FM05-1U2TS</t>
  </si>
  <si>
    <t>Колпачек изолирующии RJ-45, черныи</t>
  </si>
  <si>
    <t>CS4-11</t>
  </si>
  <si>
    <t>Разъем RJ-45, категория 5e</t>
  </si>
  <si>
    <t>CS3-1C5EU</t>
  </si>
  <si>
    <t>Коммутационныи шнур (патч-кора), кат.5Е UTP, LSZH, 1м, серыи</t>
  </si>
  <si>
    <t>PC01-C5EUL-1M</t>
  </si>
  <si>
    <t>Кабель электропитания Зх1,5 2М с разъёмами С1З-C14</t>
  </si>
  <si>
    <t>PC-C13C14-2M</t>
  </si>
  <si>
    <t>FPC09-LCU-LCU-C2L-1M</t>
  </si>
  <si>
    <t>FOBX24-1U-8LCUD09</t>
  </si>
  <si>
    <t>DEM-310GT</t>
  </si>
  <si>
    <t>Автоматическии Выключатель 10А</t>
  </si>
  <si>
    <t>Розетка на DIN-реику 10А 250В</t>
  </si>
  <si>
    <t>DIN-рейка</t>
  </si>
  <si>
    <t>Кабель силовой, сеч. 3х1,5 мм2</t>
  </si>
  <si>
    <t>ВВгнг(А)-LSLТх 3х1.5</t>
  </si>
  <si>
    <t>Кабеленесущие конструкции и расходные материалы</t>
  </si>
  <si>
    <t>Кабель HDMI -HDMI , 2 м</t>
  </si>
  <si>
    <t>Кабель связи симметричный для цифровых систем передачи</t>
  </si>
  <si>
    <t>Кабель связи симметричный для цифровых систем передачи в грунте</t>
  </si>
  <si>
    <t>FO-DF-IN-9-4-LSZH-YL</t>
  </si>
  <si>
    <t>GORN804.002100</t>
  </si>
  <si>
    <t>Труба гофрированная ПНД с зонаом U 20</t>
  </si>
  <si>
    <t>CTG20-20-K02-050-1</t>
  </si>
  <si>
    <t>Труа гофрированная самозатухающая ТГС СЗ 20 м мс зондом (100м)</t>
  </si>
  <si>
    <t>ТГТ Сз 20 мм с зонаом</t>
  </si>
  <si>
    <t>Жесткая гладкая труба из нераспрастроняющего горения ПВХ 32</t>
  </si>
  <si>
    <t>Жесткая гладкая труба из нераспрастроняющего горения ПВХ 20</t>
  </si>
  <si>
    <t>Монтажная коробка</t>
  </si>
  <si>
    <t>RVi-MB3</t>
  </si>
  <si>
    <t>Кронштейн для крепления на опору</t>
  </si>
  <si>
    <t>RVI-380BP</t>
  </si>
  <si>
    <t>ЛСС-100</t>
  </si>
  <si>
    <t>Трубы</t>
  </si>
  <si>
    <t>Гибкая двустенная гофрированная труба ду=63мм</t>
  </si>
  <si>
    <t>Соединительная муфта ду=63мм</t>
  </si>
  <si>
    <t>Разветвитель на 3 трубы ду=63мм</t>
  </si>
  <si>
    <t>Песок</t>
  </si>
  <si>
    <t> Сuстема охраны входов зданuя  </t>
  </si>
  <si>
    <t>Аудиодомофон</t>
  </si>
  <si>
    <t>Цифрал CCD-2094.1/Р</t>
  </si>
  <si>
    <t>Блок консьержа</t>
  </si>
  <si>
    <t>Цифрал-БК-04</t>
  </si>
  <si>
    <t>Блок коммутации</t>
  </si>
  <si>
    <t>Коммутатор КМГ-100</t>
  </si>
  <si>
    <t>Ключ-чип</t>
  </si>
  <si>
    <t>Цифрал-БП-2</t>
  </si>
  <si>
    <t>Кнопка открывания двери с подсветкой</t>
  </si>
  <si>
    <t>Цифрал-КОД сп-4</t>
  </si>
  <si>
    <t>Электромагнитный замок</t>
  </si>
  <si>
    <t>МL-Цифрал</t>
  </si>
  <si>
    <t>Микропроцессорное устройство ключевое</t>
  </si>
  <si>
    <t>КУ-95/РК</t>
  </si>
  <si>
    <t>Контроллер электромагнитного замка</t>
  </si>
  <si>
    <t>Цифрал ТС-01</t>
  </si>
  <si>
    <t>Дверной довоачик 2-х скоростнои</t>
  </si>
  <si>
    <t>Dorma  TS  68</t>
  </si>
  <si>
    <t>Кабель сеч.  UТРнг (А) LSLТх</t>
  </si>
  <si>
    <t>UТР 4х2х0,5</t>
  </si>
  <si>
    <t>Кабель сеч. FТРнг (А) LSLТх</t>
  </si>
  <si>
    <t>FТР 4х2х0,5</t>
  </si>
  <si>
    <t>Провод повышенной гибкости с медной многопроволочной жилой</t>
  </si>
  <si>
    <t>ПуГВ нг (А) LSLТх 1х1,0</t>
  </si>
  <si>
    <t>Труба стальная электросварная d=32х1,4м</t>
  </si>
  <si>
    <t>Металлорукав, негерметичныи, гибкии dвн=18 мм</t>
  </si>
  <si>
    <t>РЗ-Ц-Х-18 ТУ22-3988-77</t>
  </si>
  <si>
    <t>Скоба 20 под металлорукав-18</t>
  </si>
  <si>
    <t>Труба гофрированная ПВХ с протяжкой легкая  20</t>
  </si>
  <si>
    <t>Скоба 20 под гофрированную ПВХ</t>
  </si>
  <si>
    <t>Выключатели распределения, 16А, 220В, характеристика "С"</t>
  </si>
  <si>
    <t>ВВГнг(А)-FRLSLТх</t>
  </si>
  <si>
    <t>Гибкая двустенная гофрированная труба Ду=50мм</t>
  </si>
  <si>
    <t>Контроллер двухпроводной линии cвязи</t>
  </si>
  <si>
    <t>С2000-КДЛ</t>
  </si>
  <si>
    <t>Контроллер доcтупа</t>
  </si>
  <si>
    <t>С2000-2</t>
  </si>
  <si>
    <t>Источник вторичнного электропитния резервированный РИП-12 исп.4</t>
  </si>
  <si>
    <t>РИП-12-2/7М2</t>
  </si>
  <si>
    <t>Аккумуляторная батарея 7 Ач</t>
  </si>
  <si>
    <t>Источник вторичнного электропитния резервированный РИП-12 исп.5</t>
  </si>
  <si>
    <t>РИП-12-8/17М1-Р</t>
  </si>
  <si>
    <t>Считыватель беcконтактныи</t>
  </si>
  <si>
    <t>Proхy-2A ucп 01</t>
  </si>
  <si>
    <t>Извещатель охранный точечныи магнитоконтактный</t>
  </si>
  <si>
    <t>ИО 102-2</t>
  </si>
  <si>
    <t>Кнопка Выхода</t>
  </si>
  <si>
    <t>AT-H805A</t>
  </si>
  <si>
    <t>Замок электромагнитный</t>
  </si>
  <si>
    <t>ML-400</t>
  </si>
  <si>
    <t>Доводчик дверной, механичеcкий</t>
  </si>
  <si>
    <t>DS-K4H250S</t>
  </si>
  <si>
    <t>Пульт контроля и управления охранно-пожарный</t>
  </si>
  <si>
    <t>С2000М</t>
  </si>
  <si>
    <t>Преобразователь интерфейcа RS-232 - RS-485</t>
  </si>
  <si>
    <t>С2000-ПИ</t>
  </si>
  <si>
    <t>Преобразователь интерфеиcов USB В RS-232</t>
  </si>
  <si>
    <t>USB-RS232</t>
  </si>
  <si>
    <t>Оперативная задача «ОЗ Орион Про» иcп 10</t>
  </si>
  <si>
    <t>Центральныи cервер Орион Про</t>
  </si>
  <si>
    <t>"АБД Орион Про"  -  Админиcтратор базы данных Орион Про</t>
  </si>
  <si>
    <t>Преобразователь интерфеиcов USB   В RS-232</t>
  </si>
  <si>
    <t>Тонкая беcконтактная proxiтity  карта c нумерацией TK4100  ISO</t>
  </si>
  <si>
    <t>Em-Marine 125 кГц</t>
  </si>
  <si>
    <t>Кабель для подключения замков электромагнитных к cети  12В</t>
  </si>
  <si>
    <t>КПСВВнг(А)-LSLТх 1х2х2,5</t>
  </si>
  <si>
    <t>Кабель контрольный пониженной пожароопаcноcти ,  RS-485</t>
  </si>
  <si>
    <t>КВВГЭнг(А)-LSLТх 4х1</t>
  </si>
  <si>
    <t>Кабель контрольный,  медныи для подключения cчитывателеи к контроллрам доступа</t>
  </si>
  <si>
    <t>КПСВВнг(А)-LSLТх 4х2х0,5</t>
  </si>
  <si>
    <t>Кабель контрольный,  медныи для  хранной сигнализации и СКУД</t>
  </si>
  <si>
    <t>КПСВВнг(А)-LSLТх 1х2х0,5</t>
  </si>
  <si>
    <t>Кабель-канал c крышкой</t>
  </si>
  <si>
    <t>40хб0</t>
  </si>
  <si>
    <t>Труба ПВХ гибкая гофр .  д.20мм,  лёгкая c протяжкой,  100м</t>
  </si>
  <si>
    <t>Устройство оконечное объектовое</t>
  </si>
  <si>
    <t>Юпитер-1833</t>
  </si>
  <si>
    <t>СКАТ 1200Д исп 2</t>
  </si>
  <si>
    <t>Аккумуляторная батарея 26 Ач</t>
  </si>
  <si>
    <t>АКБ 26</t>
  </si>
  <si>
    <t>Извещатель охранный объемный оптико-электронный</t>
  </si>
  <si>
    <t>Сатурн-5211</t>
  </si>
  <si>
    <t>Извещатель охранный точечный магнитоконтактныи</t>
  </si>
  <si>
    <t>ИО 102-02</t>
  </si>
  <si>
    <t>Извещатель охранныи ручной точечный электроконтактный</t>
  </si>
  <si>
    <t>АСТРА-321</t>
  </si>
  <si>
    <t>Опобещатель охранно-пожарныий комбиниробанный свето-звуковой</t>
  </si>
  <si>
    <t>Маяк 12КП</t>
  </si>
  <si>
    <t>Кабель огнестойкий, не поддерживающии горения</t>
  </si>
  <si>
    <t>КПСнг(А)-LSLTx 1x2x0.75</t>
  </si>
  <si>
    <t>Кабель контрольныи пониженной пожароопасности ,  RS-485</t>
  </si>
  <si>
    <t>КВВГЭнг(А)-LSLTx 4x1</t>
  </si>
  <si>
    <t>Кабель для подключения питания</t>
  </si>
  <si>
    <t>КПСВВнг(А)-LSLTx 2x2x0,75</t>
  </si>
  <si>
    <t>Кабель-канал с крышкой</t>
  </si>
  <si>
    <t>40х40</t>
  </si>
  <si>
    <t>Труба стальная электросварная d=32х1,4мм</t>
  </si>
  <si>
    <t>Гост 10704-91</t>
  </si>
  <si>
    <t>Труба гофрированная ПВХ с протяжкой легкая 20</t>
  </si>
  <si>
    <t>м3</t>
  </si>
  <si>
    <t>КПСнг(А)-LSLTx 2x2x0.75</t>
  </si>
  <si>
    <t>2094.1</t>
  </si>
  <si>
    <t>Пластина переходная</t>
  </si>
  <si>
    <t>D-Link  DGS-1024C</t>
  </si>
  <si>
    <t>Гранит-202БН-3К</t>
  </si>
  <si>
    <t>Цифровая гибридная  IP АTC</t>
  </si>
  <si>
    <t>Телефонный аппарат  IP</t>
  </si>
  <si>
    <t>Цифровой системныи телефон  IP</t>
  </si>
  <si>
    <t>КВПЭфКг-5e 4х2х0,52</t>
  </si>
  <si>
    <t>КВПнг(А)-LSLТх-5e 4х2х0,52</t>
  </si>
  <si>
    <t>RVI-M32P</t>
  </si>
  <si>
    <t>RVi-1BMB-4  white</t>
  </si>
  <si>
    <r>
      <rPr>
        <vertAlign val="subscript"/>
        <sz val="11"/>
        <rFont val="Times New Roman"/>
        <family val="1"/>
        <charset val="204"/>
      </rPr>
      <t>м</t>
    </r>
    <r>
      <rPr>
        <sz val="11"/>
        <rFont val="Times New Roman"/>
        <family val="1"/>
        <charset val="204"/>
      </rPr>
      <t>3</t>
    </r>
  </si>
  <si>
    <t>RVI-1NCD2023  (2.8-12)</t>
  </si>
  <si>
    <t>RVI-1NCT2023  (2.8-12)</t>
  </si>
  <si>
    <t>NSBox-245HR  (RX35F38H)</t>
  </si>
  <si>
    <t>Easy9  EZ9F14110</t>
  </si>
  <si>
    <t>Acti  9  A9A15310</t>
  </si>
  <si>
    <t>Шкаф сетевой 19" L NЕА N 18и 600х1000 мм перфорированная Передняя дверь серый</t>
  </si>
  <si>
    <t>Оптическии распределительный кросс укомплектованный: LC (duplex) 8шт; (0S2)</t>
  </si>
  <si>
    <t>Оптическии коммутационныи соединительныи шнур (патч-кора),SM, 9/125 (0S2), LC/UPC-LC/UPC, (Duplex), 1м</t>
  </si>
  <si>
    <t>SFP-трансивер с 1 портом 1000Base-LX аля одномодового оптического кабеля (до 10 км)</t>
  </si>
  <si>
    <t>Кабель Волоконно-оптическии 9/125 (OS2, G.652D) одномодовый,4 Волокна, central loose tube, для внешнеи прокладки,улучшенная защита от грызунов, влагостойкий, UV resistant РЕ, -30°[ - +70°[, чёрныи (аналог A-DQ(ZN)B2Y)</t>
  </si>
  <si>
    <t>Лента сигнальная предупредительная 100 мм 250м "Не копать, ниже кабель!"</t>
  </si>
  <si>
    <t>Труба поливинилхлоридная гибкая гофрировнная наружний диаметр 25  мм</t>
  </si>
  <si>
    <t>Труба поливинилхлоридная круглого сечения наружний диаметр 40  мм</t>
  </si>
  <si>
    <t>Труба поливинилхлоридная гибкая гофрировнная наружний диаметр 32  мм</t>
  </si>
  <si>
    <t>Управляемый коммутатор 2 уровня с 10 портами 1000Base-X SFP и 2 портами 10/100/1000Base-T</t>
  </si>
  <si>
    <r>
      <rPr>
        <b/>
        <u/>
        <sz val="11"/>
        <rFont val="Times New Roman"/>
        <family val="1"/>
        <charset val="204"/>
      </rPr>
      <t>   Щиты  </t>
    </r>
  </si>
  <si>
    <r>
      <t>4х1,5 мм</t>
    </r>
    <r>
      <rPr>
        <vertAlign val="superscript"/>
        <sz val="11"/>
        <rFont val="Times New Roman"/>
        <family val="1"/>
        <charset val="204"/>
      </rPr>
      <t>2</t>
    </r>
  </si>
  <si>
    <r>
      <t>5х1,5 мм</t>
    </r>
    <r>
      <rPr>
        <vertAlign val="superscript"/>
        <sz val="11"/>
        <rFont val="Times New Roman"/>
        <family val="1"/>
        <charset val="204"/>
      </rPr>
      <t>2</t>
    </r>
  </si>
  <si>
    <r>
      <t>4х1,0мм</t>
    </r>
    <r>
      <rPr>
        <vertAlign val="superscript"/>
        <sz val="11"/>
        <rFont val="Times New Roman"/>
        <family val="1"/>
        <charset val="204"/>
      </rPr>
      <t>2</t>
    </r>
  </si>
  <si>
    <r>
      <t>Провод высоковольтный сеч. 0,35 мм</t>
    </r>
    <r>
      <rPr>
        <vertAlign val="superscript"/>
        <sz val="11"/>
        <rFont val="Times New Roman"/>
        <family val="1"/>
        <charset val="204"/>
      </rPr>
      <t>2</t>
    </r>
  </si>
  <si>
    <r>
      <rPr>
        <vertAlign val="subscript"/>
        <sz val="11"/>
        <rFont val="Times New Roman"/>
        <family val="1"/>
        <charset val="204"/>
      </rPr>
      <t>м</t>
    </r>
    <r>
      <rPr>
        <sz val="11"/>
        <rFont val="Times New Roman"/>
        <family val="1"/>
        <charset val="204"/>
      </rPr>
      <t>2</t>
    </r>
  </si>
  <si>
    <r>
      <rPr>
        <sz val="11"/>
        <rFont val="Times New Roman"/>
        <family val="1"/>
        <charset val="204"/>
      </rPr>
      <t>ВА47-29  1р 16А</t>
    </r>
  </si>
  <si>
    <r>
      <rPr>
        <sz val="11"/>
        <rFont val="Times New Roman"/>
        <family val="1"/>
        <charset val="204"/>
      </rPr>
      <t>Кабель сеч. 3х1,5  мм</t>
    </r>
    <r>
      <rPr>
        <vertAlign val="superscript"/>
        <sz val="11"/>
        <rFont val="Times New Roman"/>
        <family val="1"/>
        <charset val="204"/>
      </rPr>
      <t>2</t>
    </r>
  </si>
  <si>
    <t xml:space="preserve">Кабели контрольные, с медными жилами, не распространяющие горение, с низким дымо - и газовыделением, низкой токсичностью продуктов горения, с изоляцией и оболочкой из ПВХ пластиката пониженной пожарной опасности, с числом жил и сечением:          </t>
  </si>
  <si>
    <t>4х1,0мм2</t>
  </si>
  <si>
    <r>
      <rPr>
        <b/>
        <u/>
        <sz val="11"/>
        <rFont val="Times New Roman"/>
        <family val="1"/>
        <charset val="204"/>
      </rPr>
      <t>    3. Кабели и провода   </t>
    </r>
  </si>
  <si>
    <t xml:space="preserve">Кабели контрольные, с медными жилами, не распространяющие горение, с низким дымо - и газовыделением, низкой токсичностью продуктов горения, с изоляцией и оболочкой из ПВХ пластиката пониженной пожарной опасности, с числом жил и сечением:  </t>
  </si>
  <si>
    <t>Кабель силовой с медными жилами в ПВХ оболочке, пониженной пожарной опасности, пониженным дымо и газовыделением с числом жил и сечением 3 x 1,5мм2</t>
  </si>
  <si>
    <t>Провод одножильный с медной жилой, с изоляцией из поливинилхлоридного пластиката, без оболочки, сечением: 1х1,5мм2</t>
  </si>
  <si>
    <t>ПуВ-0,66 ГОСТ 31947-2012</t>
  </si>
  <si>
    <r>
      <rPr>
        <b/>
        <u/>
        <sz val="11"/>
        <rFont val="Times New Roman"/>
        <family val="1"/>
        <charset val="204"/>
      </rPr>
      <t>    4. Трубы металлические   </t>
    </r>
  </si>
  <si>
    <t>Труба стальная бесшовная холоднодеформированная, наружный диаметр 14мм, толщина стенки 2,0мм</t>
  </si>
  <si>
    <r>
      <rPr>
        <b/>
        <u/>
        <sz val="11"/>
        <rFont val="Times New Roman"/>
        <family val="1"/>
        <charset val="204"/>
      </rPr>
      <t>     5. Трубы неметаллические    </t>
    </r>
  </si>
  <si>
    <r>
      <rPr>
        <b/>
        <u/>
        <sz val="11"/>
        <rFont val="Times New Roman"/>
        <family val="1"/>
        <charset val="204"/>
      </rPr>
      <t>6. Монтажные изделия</t>
    </r>
  </si>
  <si>
    <t>4х1,0 мм²</t>
  </si>
  <si>
    <t xml:space="preserve">Кабели контрольные, с медными жилами, не распространяющие горение, снизким дымо - и газовыделением, низкой токсичностью продуктовгорения, с изоляцией и оболочкой из ПВХ пластиката пониженной пожарной опасности, с числом жил и сечением: </t>
  </si>
  <si>
    <t>Провод одножильный с медной жилой, с изоляцией из поливинилхлоридного пластиката, без оболочки, сечением 1х1,0мм2</t>
  </si>
  <si>
    <t>Оптическии кросс 19", 24 портов LC, укомплектованный (розетки, сплайс, КДЗС, пигтеилы), 1U</t>
  </si>
  <si>
    <t>Трубостойка РС-2000</t>
  </si>
  <si>
    <t>Кабель волоконно-оптическии 9/125 (OS2, G.652.D) одномодовый,4 Волокна, плотное буферное покрытие (tight buffer) 0.6 мм,</t>
  </si>
  <si>
    <t>Проходная клемма на 3 провоаника AWG 28 - 16</t>
  </si>
  <si>
    <t>ПуВ-0,66                 ГОСТ 31947-2012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</si>
</sst>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0.0"/>
    <numFmt numFmtId="165" formatCode="#,##0.00\ _₽"/>
  </numFmts>
  <fonts count="11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u/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4" fontId="2" fillId="0" borderId="0" xfId="1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 shrinkToFit="1"/>
    </xf>
    <xf numFmtId="1" fontId="3" fillId="0" borderId="5" xfId="0" applyNumberFormat="1" applyFont="1" applyBorder="1" applyAlignment="1">
      <alignment horizontal="center" vertical="center" wrapText="1" shrinkToFit="1"/>
    </xf>
    <xf numFmtId="1" fontId="3" fillId="0" borderId="3" xfId="0" applyNumberFormat="1" applyFont="1" applyBorder="1" applyAlignment="1">
      <alignment horizontal="center" vertical="center" wrapText="1" shrinkToFit="1"/>
    </xf>
    <xf numFmtId="1" fontId="2" fillId="0" borderId="1" xfId="0" applyNumberFormat="1" applyFont="1" applyBorder="1" applyAlignment="1">
      <alignment horizontal="center" vertical="center" wrapText="1" shrinkToFit="1"/>
    </xf>
    <xf numFmtId="1" fontId="2" fillId="0" borderId="4" xfId="0" applyNumberFormat="1" applyFont="1" applyBorder="1" applyAlignment="1">
      <alignment horizontal="center" vertical="center" wrapText="1" shrinkToFit="1"/>
    </xf>
    <xf numFmtId="1" fontId="2" fillId="0" borderId="5" xfId="0" applyNumberFormat="1" applyFont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 wrapText="1"/>
    </xf>
    <xf numFmtId="3" fontId="10" fillId="0" borderId="0" xfId="0" applyNumberFormat="1" applyFont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44" fontId="2" fillId="0" borderId="28" xfId="1" applyFont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 wrapText="1" shrinkToFit="1"/>
    </xf>
    <xf numFmtId="0" fontId="3" fillId="0" borderId="15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164" fontId="2" fillId="0" borderId="29" xfId="0" applyNumberFormat="1" applyFont="1" applyBorder="1" applyAlignment="1">
      <alignment horizontal="center" vertical="center" wrapText="1" shrinkToFit="1"/>
    </xf>
    <xf numFmtId="0" fontId="8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165" fontId="2" fillId="0" borderId="13" xfId="1" applyNumberFormat="1" applyFont="1" applyBorder="1" applyAlignment="1">
      <alignment horizontal="center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165" fontId="2" fillId="0" borderId="4" xfId="1" applyNumberFormat="1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165" fontId="2" fillId="0" borderId="3" xfId="1" applyNumberFormat="1" applyFont="1" applyBorder="1" applyAlignment="1">
      <alignment horizontal="center" vertical="center" wrapText="1"/>
    </xf>
    <xf numFmtId="165" fontId="3" fillId="0" borderId="22" xfId="0" applyNumberFormat="1" applyFont="1" applyBorder="1" applyAlignment="1">
      <alignment horizontal="center" vertical="center" wrapText="1"/>
    </xf>
    <xf numFmtId="165" fontId="2" fillId="0" borderId="5" xfId="1" applyNumberFormat="1" applyFont="1" applyBorder="1" applyAlignment="1">
      <alignment horizontal="center" vertical="center" wrapText="1"/>
    </xf>
    <xf numFmtId="165" fontId="3" fillId="0" borderId="21" xfId="0" applyNumberFormat="1" applyFont="1" applyBorder="1" applyAlignment="1">
      <alignment horizontal="center" vertical="center" wrapText="1"/>
    </xf>
    <xf numFmtId="165" fontId="2" fillId="0" borderId="29" xfId="1" applyNumberFormat="1" applyFont="1" applyBorder="1" applyAlignment="1">
      <alignment horizontal="center" vertical="center" wrapText="1"/>
    </xf>
    <xf numFmtId="165" fontId="3" fillId="0" borderId="30" xfId="0" applyNumberFormat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165" fontId="2" fillId="0" borderId="17" xfId="0" applyNumberFormat="1" applyFont="1" applyBorder="1" applyAlignment="1">
      <alignment horizontal="center" vertical="center" wrapText="1"/>
    </xf>
    <xf numFmtId="165" fontId="2" fillId="0" borderId="22" xfId="0" applyNumberFormat="1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29" xfId="1" applyNumberFormat="1" applyFont="1" applyBorder="1" applyAlignment="1">
      <alignment horizontal="center" vertical="center" wrapText="1" shrinkToFit="1"/>
    </xf>
    <xf numFmtId="165" fontId="2" fillId="0" borderId="30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165" fontId="2" fillId="0" borderId="7" xfId="1" applyNumberFormat="1" applyFont="1" applyBorder="1" applyAlignment="1">
      <alignment horizontal="center" vertical="center" wrapText="1"/>
    </xf>
    <xf numFmtId="165" fontId="2" fillId="0" borderId="19" xfId="0" applyNumberFormat="1" applyFont="1" applyBorder="1" applyAlignment="1">
      <alignment horizontal="center" vertical="center" wrapText="1"/>
    </xf>
    <xf numFmtId="165" fontId="2" fillId="0" borderId="9" xfId="1" applyNumberFormat="1" applyFont="1" applyBorder="1" applyAlignment="1">
      <alignment horizontal="center" vertical="center" wrapText="1"/>
    </xf>
    <xf numFmtId="165" fontId="2" fillId="0" borderId="20" xfId="0" applyNumberFormat="1" applyFont="1" applyBorder="1" applyAlignment="1">
      <alignment horizontal="center" vertical="center" wrapText="1"/>
    </xf>
    <xf numFmtId="165" fontId="2" fillId="0" borderId="10" xfId="1" applyNumberFormat="1" applyFont="1" applyBorder="1" applyAlignment="1">
      <alignment horizontal="center"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165" fontId="2" fillId="0" borderId="25" xfId="1" applyNumberFormat="1" applyFont="1" applyBorder="1" applyAlignment="1">
      <alignment horizontal="center" vertical="center" wrapText="1"/>
    </xf>
    <xf numFmtId="165" fontId="2" fillId="0" borderId="26" xfId="0" applyNumberFormat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165" fontId="5" fillId="0" borderId="11" xfId="0" applyNumberFormat="1" applyFont="1" applyBorder="1" applyAlignment="1">
      <alignment horizontal="left" vertical="center" wrapText="1"/>
    </xf>
    <xf numFmtId="165" fontId="3" fillId="0" borderId="13" xfId="1" applyNumberFormat="1" applyFont="1" applyBorder="1" applyAlignment="1">
      <alignment horizontal="center" vertical="center" wrapText="1" shrinkToFit="1"/>
    </xf>
    <xf numFmtId="165" fontId="3" fillId="0" borderId="1" xfId="1" applyNumberFormat="1" applyFont="1" applyBorder="1" applyAlignment="1">
      <alignment horizontal="center" vertical="center" wrapText="1" shrinkToFi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29" xfId="1" applyNumberFormat="1" applyFont="1" applyBorder="1" applyAlignment="1">
      <alignment horizontal="center" vertical="center" wrapText="1" shrinkToFit="1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0D35-1390-4C8F-84E0-39D0BE9CDD23}">
  <dimension ref="B2:G74"/>
  <sheetViews>
    <sheetView topLeftCell="A3" workbookViewId="0">
      <selection activeCell="B3" sqref="B3:G68"/>
    </sheetView>
  </sheetViews>
  <sheetFormatPr defaultColWidth="20.6640625" defaultRowHeight="15" x14ac:dyDescent="0.2"/>
  <cols>
    <col min="1" max="1" width="9.33203125" style="19" customWidth="1"/>
    <col min="2" max="2" width="48.1640625" style="28" customWidth="1"/>
    <col min="3" max="3" width="27.5" style="19" customWidth="1"/>
    <col min="4" max="4" width="10.6640625" style="19" customWidth="1"/>
    <col min="5" max="5" width="8.5" style="19" customWidth="1"/>
    <col min="6" max="6" width="20.83203125" style="4" bestFit="1" customWidth="1"/>
    <col min="7" max="7" width="21" style="19" bestFit="1" customWidth="1"/>
    <col min="8" max="16384" width="20.6640625" style="19"/>
  </cols>
  <sheetData>
    <row r="2" spans="2:7" ht="15.75" thickBot="1" x14ac:dyDescent="0.25"/>
    <row r="3" spans="2:7" ht="29.25" thickBot="1" x14ac:dyDescent="0.25">
      <c r="B3" s="37" t="s">
        <v>190</v>
      </c>
      <c r="C3" s="40"/>
      <c r="D3" s="40"/>
      <c r="E3" s="40"/>
    </row>
    <row r="4" spans="2:7" ht="30" x14ac:dyDescent="0.2">
      <c r="B4" s="30" t="s">
        <v>191</v>
      </c>
      <c r="C4" s="6" t="s">
        <v>192</v>
      </c>
      <c r="D4" s="6" t="s">
        <v>105</v>
      </c>
      <c r="E4" s="23">
        <v>1</v>
      </c>
      <c r="F4" s="52">
        <v>23690</v>
      </c>
      <c r="G4" s="53">
        <f>E4*F4</f>
        <v>23690</v>
      </c>
    </row>
    <row r="5" spans="2:7" ht="45" x14ac:dyDescent="0.2">
      <c r="B5" s="32" t="s">
        <v>536</v>
      </c>
      <c r="C5" s="1" t="s">
        <v>193</v>
      </c>
      <c r="D5" s="1" t="s">
        <v>105</v>
      </c>
      <c r="E5" s="2">
        <v>1</v>
      </c>
      <c r="F5" s="54">
        <v>5676</v>
      </c>
      <c r="G5" s="55">
        <f t="shared" ref="G5:G53" si="0">E5*F5</f>
        <v>5676</v>
      </c>
    </row>
    <row r="6" spans="2:7" x14ac:dyDescent="0.2">
      <c r="B6" s="32" t="s">
        <v>194</v>
      </c>
      <c r="C6" s="1" t="s">
        <v>195</v>
      </c>
      <c r="D6" s="1" t="s">
        <v>105</v>
      </c>
      <c r="E6" s="2">
        <v>2</v>
      </c>
      <c r="F6" s="54">
        <v>690</v>
      </c>
      <c r="G6" s="55">
        <f t="shared" si="0"/>
        <v>1380</v>
      </c>
    </row>
    <row r="7" spans="2:7" x14ac:dyDescent="0.2">
      <c r="B7" s="32" t="s">
        <v>196</v>
      </c>
      <c r="C7" s="1" t="s">
        <v>197</v>
      </c>
      <c r="D7" s="1" t="s">
        <v>105</v>
      </c>
      <c r="E7" s="2">
        <v>1</v>
      </c>
      <c r="F7" s="54">
        <v>9790</v>
      </c>
      <c r="G7" s="55">
        <f t="shared" si="0"/>
        <v>9790</v>
      </c>
    </row>
    <row r="8" spans="2:7" x14ac:dyDescent="0.2">
      <c r="B8" s="32" t="s">
        <v>198</v>
      </c>
      <c r="C8" s="1" t="s">
        <v>199</v>
      </c>
      <c r="D8" s="1" t="s">
        <v>105</v>
      </c>
      <c r="E8" s="2">
        <v>1</v>
      </c>
      <c r="F8" s="54">
        <v>1690</v>
      </c>
      <c r="G8" s="55">
        <f t="shared" si="0"/>
        <v>1690</v>
      </c>
    </row>
    <row r="9" spans="2:7" ht="30" x14ac:dyDescent="0.2">
      <c r="B9" s="32" t="s">
        <v>200</v>
      </c>
      <c r="C9" s="1" t="s">
        <v>201</v>
      </c>
      <c r="D9" s="1" t="s">
        <v>105</v>
      </c>
      <c r="E9" s="2">
        <v>1</v>
      </c>
      <c r="F9" s="54">
        <v>1990</v>
      </c>
      <c r="G9" s="55">
        <f t="shared" si="0"/>
        <v>1990</v>
      </c>
    </row>
    <row r="10" spans="2:7" x14ac:dyDescent="0.2">
      <c r="B10" s="32" t="s">
        <v>202</v>
      </c>
      <c r="C10" s="1" t="s">
        <v>203</v>
      </c>
      <c r="D10" s="1" t="s">
        <v>105</v>
      </c>
      <c r="E10" s="2">
        <v>1</v>
      </c>
      <c r="F10" s="54">
        <v>3590</v>
      </c>
      <c r="G10" s="55">
        <f t="shared" si="0"/>
        <v>3590</v>
      </c>
    </row>
    <row r="11" spans="2:7" ht="30" x14ac:dyDescent="0.2">
      <c r="B11" s="32" t="s">
        <v>204</v>
      </c>
      <c r="C11" s="1" t="s">
        <v>205</v>
      </c>
      <c r="D11" s="1" t="s">
        <v>105</v>
      </c>
      <c r="E11" s="2">
        <v>3</v>
      </c>
      <c r="F11" s="54">
        <v>690</v>
      </c>
      <c r="G11" s="55">
        <f t="shared" si="0"/>
        <v>2070</v>
      </c>
    </row>
    <row r="12" spans="2:7" x14ac:dyDescent="0.2">
      <c r="B12" s="32" t="s">
        <v>206</v>
      </c>
      <c r="C12" s="1" t="s">
        <v>207</v>
      </c>
      <c r="D12" s="1" t="s">
        <v>105</v>
      </c>
      <c r="E12" s="2">
        <v>1</v>
      </c>
      <c r="F12" s="54">
        <v>1690</v>
      </c>
      <c r="G12" s="55">
        <f t="shared" si="0"/>
        <v>1690</v>
      </c>
    </row>
    <row r="13" spans="2:7" x14ac:dyDescent="0.2">
      <c r="B13" s="32" t="s">
        <v>208</v>
      </c>
      <c r="C13" s="1" t="s">
        <v>209</v>
      </c>
      <c r="D13" s="1" t="s">
        <v>105</v>
      </c>
      <c r="E13" s="2">
        <v>90</v>
      </c>
      <c r="F13" s="54">
        <v>172</v>
      </c>
      <c r="G13" s="55">
        <f t="shared" si="0"/>
        <v>15480</v>
      </c>
    </row>
    <row r="14" spans="2:7" x14ac:dyDescent="0.2">
      <c r="B14" s="32" t="s">
        <v>210</v>
      </c>
      <c r="C14" s="1" t="s">
        <v>211</v>
      </c>
      <c r="D14" s="1" t="s">
        <v>105</v>
      </c>
      <c r="E14" s="2">
        <v>90</v>
      </c>
      <c r="F14" s="54">
        <v>6</v>
      </c>
      <c r="G14" s="55">
        <f t="shared" si="0"/>
        <v>540</v>
      </c>
    </row>
    <row r="15" spans="2:7" x14ac:dyDescent="0.2">
      <c r="B15" s="32" t="s">
        <v>212</v>
      </c>
      <c r="C15" s="3"/>
      <c r="D15" s="1" t="s">
        <v>105</v>
      </c>
      <c r="E15" s="2">
        <v>1</v>
      </c>
      <c r="F15" s="54">
        <v>1180</v>
      </c>
      <c r="G15" s="55">
        <f t="shared" si="0"/>
        <v>1180</v>
      </c>
    </row>
    <row r="16" spans="2:7" ht="30" x14ac:dyDescent="0.2">
      <c r="B16" s="32" t="s">
        <v>213</v>
      </c>
      <c r="C16" s="3" t="s">
        <v>214</v>
      </c>
      <c r="D16" s="1" t="s">
        <v>105</v>
      </c>
      <c r="E16" s="2">
        <v>1</v>
      </c>
      <c r="F16" s="54">
        <v>71760</v>
      </c>
      <c r="G16" s="55">
        <f t="shared" si="0"/>
        <v>71760</v>
      </c>
    </row>
    <row r="17" spans="2:7" ht="30" x14ac:dyDescent="0.2">
      <c r="B17" s="32" t="s">
        <v>215</v>
      </c>
      <c r="C17" s="3"/>
      <c r="D17" s="1" t="s">
        <v>105</v>
      </c>
      <c r="E17" s="2">
        <v>2</v>
      </c>
      <c r="F17" s="54">
        <v>2717</v>
      </c>
      <c r="G17" s="55">
        <f t="shared" si="0"/>
        <v>5434</v>
      </c>
    </row>
    <row r="18" spans="2:7" x14ac:dyDescent="0.2">
      <c r="B18" s="32" t="s">
        <v>216</v>
      </c>
      <c r="C18" s="1" t="s">
        <v>217</v>
      </c>
      <c r="D18" s="1" t="s">
        <v>105</v>
      </c>
      <c r="E18" s="2">
        <v>1</v>
      </c>
      <c r="F18" s="54">
        <v>980</v>
      </c>
      <c r="G18" s="55">
        <f t="shared" si="0"/>
        <v>980</v>
      </c>
    </row>
    <row r="19" spans="2:7" x14ac:dyDescent="0.2">
      <c r="B19" s="32" t="s">
        <v>218</v>
      </c>
      <c r="C19" s="1" t="s">
        <v>489</v>
      </c>
      <c r="D19" s="1" t="s">
        <v>105</v>
      </c>
      <c r="E19" s="2">
        <v>2</v>
      </c>
      <c r="F19" s="54">
        <v>9474</v>
      </c>
      <c r="G19" s="55">
        <f t="shared" si="0"/>
        <v>18948</v>
      </c>
    </row>
    <row r="20" spans="2:7" x14ac:dyDescent="0.2">
      <c r="B20" s="32" t="s">
        <v>219</v>
      </c>
      <c r="C20" s="3"/>
      <c r="D20" s="1" t="s">
        <v>105</v>
      </c>
      <c r="E20" s="2">
        <v>2</v>
      </c>
      <c r="F20" s="54">
        <v>2280</v>
      </c>
      <c r="G20" s="55">
        <f t="shared" si="0"/>
        <v>4560</v>
      </c>
    </row>
    <row r="21" spans="2:7" x14ac:dyDescent="0.2">
      <c r="B21" s="32" t="s">
        <v>220</v>
      </c>
      <c r="C21" s="17"/>
      <c r="D21" s="5" t="s">
        <v>221</v>
      </c>
      <c r="E21" s="22">
        <v>5</v>
      </c>
      <c r="F21" s="56">
        <v>486.2</v>
      </c>
      <c r="G21" s="57">
        <f t="shared" si="0"/>
        <v>2431</v>
      </c>
    </row>
    <row r="22" spans="2:7" x14ac:dyDescent="0.2">
      <c r="B22" s="33" t="s">
        <v>222</v>
      </c>
      <c r="C22" s="8"/>
      <c r="D22" s="7"/>
      <c r="E22" s="7"/>
      <c r="F22" s="58"/>
      <c r="G22" s="59"/>
    </row>
    <row r="23" spans="2:7" x14ac:dyDescent="0.2">
      <c r="B23" s="32" t="s">
        <v>223</v>
      </c>
      <c r="C23" s="6" t="s">
        <v>224</v>
      </c>
      <c r="D23" s="6" t="s">
        <v>6</v>
      </c>
      <c r="E23" s="23">
        <v>1</v>
      </c>
      <c r="F23" s="60">
        <v>144762</v>
      </c>
      <c r="G23" s="61">
        <f t="shared" si="0"/>
        <v>144762</v>
      </c>
    </row>
    <row r="24" spans="2:7" x14ac:dyDescent="0.2">
      <c r="B24" s="32" t="s">
        <v>225</v>
      </c>
      <c r="C24" s="1" t="s">
        <v>226</v>
      </c>
      <c r="D24" s="1" t="s">
        <v>6</v>
      </c>
      <c r="E24" s="2">
        <v>44</v>
      </c>
      <c r="F24" s="54">
        <v>14348</v>
      </c>
      <c r="G24" s="55">
        <f t="shared" si="0"/>
        <v>631312</v>
      </c>
    </row>
    <row r="25" spans="2:7" x14ac:dyDescent="0.2">
      <c r="B25" s="32" t="s">
        <v>227</v>
      </c>
      <c r="C25" s="1" t="s">
        <v>228</v>
      </c>
      <c r="D25" s="1" t="s">
        <v>6</v>
      </c>
      <c r="E25" s="2">
        <v>38</v>
      </c>
      <c r="F25" s="54">
        <v>18</v>
      </c>
      <c r="G25" s="55">
        <f t="shared" si="0"/>
        <v>684</v>
      </c>
    </row>
    <row r="26" spans="2:7" ht="30" x14ac:dyDescent="0.2">
      <c r="B26" s="32" t="s">
        <v>229</v>
      </c>
      <c r="C26" s="1" t="s">
        <v>230</v>
      </c>
      <c r="D26" s="1" t="s">
        <v>54</v>
      </c>
      <c r="E26" s="2">
        <v>365</v>
      </c>
      <c r="F26" s="54">
        <v>55.74</v>
      </c>
      <c r="G26" s="55">
        <f t="shared" si="0"/>
        <v>20345.100000000002</v>
      </c>
    </row>
    <row r="27" spans="2:7" x14ac:dyDescent="0.2">
      <c r="B27" s="32" t="s">
        <v>231</v>
      </c>
      <c r="C27" s="1" t="s">
        <v>232</v>
      </c>
      <c r="D27" s="1" t="s">
        <v>105</v>
      </c>
      <c r="E27" s="2">
        <v>1</v>
      </c>
      <c r="F27" s="54">
        <v>16960.34</v>
      </c>
      <c r="G27" s="55">
        <f t="shared" si="0"/>
        <v>16960.34</v>
      </c>
    </row>
    <row r="28" spans="2:7" x14ac:dyDescent="0.2">
      <c r="B28" s="32" t="s">
        <v>233</v>
      </c>
      <c r="C28" s="1" t="s">
        <v>234</v>
      </c>
      <c r="D28" s="1" t="s">
        <v>6</v>
      </c>
      <c r="E28" s="2">
        <v>1</v>
      </c>
      <c r="F28" s="54">
        <v>7220</v>
      </c>
      <c r="G28" s="55">
        <f t="shared" si="0"/>
        <v>7220</v>
      </c>
    </row>
    <row r="29" spans="2:7" x14ac:dyDescent="0.2">
      <c r="B29" s="32" t="s">
        <v>235</v>
      </c>
      <c r="C29" s="1" t="s">
        <v>236</v>
      </c>
      <c r="D29" s="1" t="s">
        <v>6</v>
      </c>
      <c r="E29" s="2">
        <v>1</v>
      </c>
      <c r="F29" s="54">
        <v>5325</v>
      </c>
      <c r="G29" s="55">
        <f t="shared" si="0"/>
        <v>5325</v>
      </c>
    </row>
    <row r="30" spans="2:7" x14ac:dyDescent="0.2">
      <c r="B30" s="32" t="s">
        <v>237</v>
      </c>
      <c r="C30" s="1" t="s">
        <v>238</v>
      </c>
      <c r="D30" s="1" t="s">
        <v>6</v>
      </c>
      <c r="E30" s="2">
        <v>1</v>
      </c>
      <c r="F30" s="54">
        <v>9390</v>
      </c>
      <c r="G30" s="55">
        <f t="shared" si="0"/>
        <v>9390</v>
      </c>
    </row>
    <row r="31" spans="2:7" x14ac:dyDescent="0.2">
      <c r="B31" s="32" t="s">
        <v>239</v>
      </c>
      <c r="C31" s="5" t="s">
        <v>240</v>
      </c>
      <c r="D31" s="5" t="s">
        <v>6</v>
      </c>
      <c r="E31" s="22">
        <v>1</v>
      </c>
      <c r="F31" s="56">
        <v>1395</v>
      </c>
      <c r="G31" s="57">
        <f t="shared" si="0"/>
        <v>1395</v>
      </c>
    </row>
    <row r="32" spans="2:7" ht="42.75" x14ac:dyDescent="0.2">
      <c r="B32" s="47" t="s">
        <v>241</v>
      </c>
      <c r="C32" s="20"/>
      <c r="D32" s="21"/>
      <c r="E32" s="24"/>
      <c r="F32" s="58"/>
      <c r="G32" s="59"/>
    </row>
    <row r="33" spans="2:7" ht="60" x14ac:dyDescent="0.2">
      <c r="B33" s="43" t="s">
        <v>242</v>
      </c>
      <c r="C33" s="18" t="s">
        <v>243</v>
      </c>
      <c r="D33" s="6" t="s">
        <v>54</v>
      </c>
      <c r="E33" s="23">
        <v>25</v>
      </c>
      <c r="F33" s="60">
        <v>126.328</v>
      </c>
      <c r="G33" s="61">
        <f t="shared" si="0"/>
        <v>3158.2000000000003</v>
      </c>
    </row>
    <row r="34" spans="2:7" x14ac:dyDescent="0.2">
      <c r="B34" s="43" t="s">
        <v>174</v>
      </c>
      <c r="C34" s="3" t="s">
        <v>175</v>
      </c>
      <c r="D34" s="1" t="s">
        <v>54</v>
      </c>
      <c r="E34" s="2">
        <v>20</v>
      </c>
      <c r="F34" s="54">
        <v>766.19</v>
      </c>
      <c r="G34" s="55">
        <f t="shared" si="0"/>
        <v>15323.800000000001</v>
      </c>
    </row>
    <row r="35" spans="2:7" x14ac:dyDescent="0.2">
      <c r="B35" s="43" t="s">
        <v>177</v>
      </c>
      <c r="C35" s="3"/>
      <c r="D35" s="1" t="s">
        <v>6</v>
      </c>
      <c r="E35" s="2">
        <v>35</v>
      </c>
      <c r="F35" s="54">
        <v>6</v>
      </c>
      <c r="G35" s="55">
        <f t="shared" si="0"/>
        <v>210</v>
      </c>
    </row>
    <row r="36" spans="2:7" x14ac:dyDescent="0.2">
      <c r="B36" s="43" t="s">
        <v>178</v>
      </c>
      <c r="C36" s="3"/>
      <c r="D36" s="1" t="s">
        <v>6</v>
      </c>
      <c r="E36" s="2">
        <v>35</v>
      </c>
      <c r="F36" s="54">
        <v>3</v>
      </c>
      <c r="G36" s="55">
        <f t="shared" si="0"/>
        <v>105</v>
      </c>
    </row>
    <row r="37" spans="2:7" x14ac:dyDescent="0.2">
      <c r="B37" s="32" t="s">
        <v>244</v>
      </c>
      <c r="C37" s="1" t="s">
        <v>245</v>
      </c>
      <c r="D37" s="1" t="s">
        <v>6</v>
      </c>
      <c r="E37" s="2">
        <v>12</v>
      </c>
      <c r="F37" s="54">
        <v>78</v>
      </c>
      <c r="G37" s="55">
        <f t="shared" si="0"/>
        <v>936</v>
      </c>
    </row>
    <row r="38" spans="2:7" x14ac:dyDescent="0.2">
      <c r="B38" s="32" t="s">
        <v>246</v>
      </c>
      <c r="C38" s="1" t="s">
        <v>247</v>
      </c>
      <c r="D38" s="1" t="s">
        <v>6</v>
      </c>
      <c r="E38" s="2">
        <v>12</v>
      </c>
      <c r="F38" s="54">
        <v>3455</v>
      </c>
      <c r="G38" s="55">
        <f t="shared" si="0"/>
        <v>41460</v>
      </c>
    </row>
    <row r="39" spans="2:7" ht="30" x14ac:dyDescent="0.2">
      <c r="B39" s="32" t="s">
        <v>248</v>
      </c>
      <c r="C39" s="1" t="s">
        <v>249</v>
      </c>
      <c r="D39" s="1" t="s">
        <v>54</v>
      </c>
      <c r="E39" s="2">
        <v>175</v>
      </c>
      <c r="F39" s="54">
        <v>55.74</v>
      </c>
      <c r="G39" s="55">
        <f t="shared" si="0"/>
        <v>9754.5</v>
      </c>
    </row>
    <row r="40" spans="2:7" x14ac:dyDescent="0.2">
      <c r="B40" s="32" t="s">
        <v>250</v>
      </c>
      <c r="C40" s="1" t="s">
        <v>251</v>
      </c>
      <c r="D40" s="1" t="s">
        <v>6</v>
      </c>
      <c r="E40" s="2">
        <v>10</v>
      </c>
      <c r="F40" s="54">
        <v>30.3</v>
      </c>
      <c r="G40" s="55">
        <f t="shared" si="0"/>
        <v>303</v>
      </c>
    </row>
    <row r="41" spans="2:7" x14ac:dyDescent="0.2">
      <c r="B41" s="32" t="s">
        <v>227</v>
      </c>
      <c r="C41" s="1" t="s">
        <v>252</v>
      </c>
      <c r="D41" s="1" t="s">
        <v>6</v>
      </c>
      <c r="E41" s="2">
        <v>4</v>
      </c>
      <c r="F41" s="54">
        <v>18</v>
      </c>
      <c r="G41" s="55">
        <f t="shared" si="0"/>
        <v>72</v>
      </c>
    </row>
    <row r="42" spans="2:7" ht="30" x14ac:dyDescent="0.2">
      <c r="B42" s="32" t="s">
        <v>253</v>
      </c>
      <c r="C42" s="1" t="s">
        <v>254</v>
      </c>
      <c r="D42" s="1" t="s">
        <v>6</v>
      </c>
      <c r="E42" s="2">
        <v>1</v>
      </c>
      <c r="F42" s="54">
        <v>176400</v>
      </c>
      <c r="G42" s="55">
        <f t="shared" si="0"/>
        <v>176400</v>
      </c>
    </row>
    <row r="43" spans="2:7" x14ac:dyDescent="0.2">
      <c r="B43" s="32" t="s">
        <v>255</v>
      </c>
      <c r="C43" s="1" t="s">
        <v>490</v>
      </c>
      <c r="D43" s="1" t="s">
        <v>105</v>
      </c>
      <c r="E43" s="2">
        <v>7</v>
      </c>
      <c r="F43" s="54">
        <v>34483</v>
      </c>
      <c r="G43" s="55">
        <f t="shared" si="0"/>
        <v>241381</v>
      </c>
    </row>
    <row r="44" spans="2:7" x14ac:dyDescent="0.2">
      <c r="B44" s="32" t="s">
        <v>493</v>
      </c>
      <c r="C44" s="1" t="s">
        <v>256</v>
      </c>
      <c r="D44" s="1" t="s">
        <v>105</v>
      </c>
      <c r="E44" s="2">
        <v>1</v>
      </c>
      <c r="F44" s="54">
        <v>6319</v>
      </c>
      <c r="G44" s="55">
        <f t="shared" si="0"/>
        <v>6319</v>
      </c>
    </row>
    <row r="45" spans="2:7" x14ac:dyDescent="0.2">
      <c r="B45" s="32" t="s">
        <v>491</v>
      </c>
      <c r="C45" s="1" t="s">
        <v>257</v>
      </c>
      <c r="D45" s="1" t="s">
        <v>6</v>
      </c>
      <c r="E45" s="2">
        <v>1</v>
      </c>
      <c r="F45" s="54">
        <v>64900</v>
      </c>
      <c r="G45" s="55">
        <f t="shared" si="0"/>
        <v>64900</v>
      </c>
    </row>
    <row r="46" spans="2:7" x14ac:dyDescent="0.2">
      <c r="B46" s="32" t="s">
        <v>492</v>
      </c>
      <c r="C46" s="1" t="s">
        <v>258</v>
      </c>
      <c r="D46" s="1" t="s">
        <v>6</v>
      </c>
      <c r="E46" s="2">
        <v>13</v>
      </c>
      <c r="F46" s="54">
        <v>7750</v>
      </c>
      <c r="G46" s="55">
        <f t="shared" si="0"/>
        <v>100750</v>
      </c>
    </row>
    <row r="47" spans="2:7" x14ac:dyDescent="0.2">
      <c r="B47" s="32" t="s">
        <v>259</v>
      </c>
      <c r="C47" s="1" t="s">
        <v>260</v>
      </c>
      <c r="D47" s="1" t="s">
        <v>6</v>
      </c>
      <c r="E47" s="2">
        <v>50</v>
      </c>
      <c r="F47" s="54">
        <v>780</v>
      </c>
      <c r="G47" s="55">
        <f t="shared" si="0"/>
        <v>39000</v>
      </c>
    </row>
    <row r="48" spans="2:7" x14ac:dyDescent="0.2">
      <c r="B48" s="32" t="s">
        <v>261</v>
      </c>
      <c r="C48" s="1" t="s">
        <v>262</v>
      </c>
      <c r="D48" s="1" t="s">
        <v>6</v>
      </c>
      <c r="E48" s="2">
        <v>25</v>
      </c>
      <c r="F48" s="54">
        <v>116</v>
      </c>
      <c r="G48" s="55">
        <f t="shared" si="0"/>
        <v>2900</v>
      </c>
    </row>
    <row r="49" spans="2:7" x14ac:dyDescent="0.2">
      <c r="B49" s="32" t="s">
        <v>263</v>
      </c>
      <c r="C49" s="3" t="s">
        <v>264</v>
      </c>
      <c r="D49" s="1" t="s">
        <v>6</v>
      </c>
      <c r="E49" s="2">
        <v>1</v>
      </c>
      <c r="F49" s="54">
        <v>1621</v>
      </c>
      <c r="G49" s="55">
        <f t="shared" si="0"/>
        <v>1621</v>
      </c>
    </row>
    <row r="50" spans="2:7" ht="30" x14ac:dyDescent="0.2">
      <c r="B50" s="43" t="s">
        <v>265</v>
      </c>
      <c r="C50" s="1" t="s">
        <v>266</v>
      </c>
      <c r="D50" s="1" t="s">
        <v>54</v>
      </c>
      <c r="E50" s="2">
        <v>1165</v>
      </c>
      <c r="F50" s="54">
        <v>56</v>
      </c>
      <c r="G50" s="55">
        <f t="shared" si="0"/>
        <v>65240</v>
      </c>
    </row>
    <row r="51" spans="2:7" ht="30" x14ac:dyDescent="0.2">
      <c r="B51" s="43" t="s">
        <v>267</v>
      </c>
      <c r="C51" s="1" t="s">
        <v>266</v>
      </c>
      <c r="D51" s="1" t="s">
        <v>54</v>
      </c>
      <c r="E51" s="2">
        <v>1660</v>
      </c>
      <c r="F51" s="54">
        <v>84</v>
      </c>
      <c r="G51" s="55">
        <f t="shared" si="0"/>
        <v>139440</v>
      </c>
    </row>
    <row r="52" spans="2:7" x14ac:dyDescent="0.2">
      <c r="B52" s="32" t="s">
        <v>268</v>
      </c>
      <c r="C52" s="1" t="s">
        <v>269</v>
      </c>
      <c r="D52" s="1" t="s">
        <v>54</v>
      </c>
      <c r="E52" s="2">
        <v>980</v>
      </c>
      <c r="F52" s="54">
        <v>103.55</v>
      </c>
      <c r="G52" s="55">
        <f t="shared" si="0"/>
        <v>101479</v>
      </c>
    </row>
    <row r="53" spans="2:7" x14ac:dyDescent="0.2">
      <c r="B53" s="32" t="s">
        <v>268</v>
      </c>
      <c r="C53" s="1" t="s">
        <v>270</v>
      </c>
      <c r="D53" s="1" t="s">
        <v>54</v>
      </c>
      <c r="E53" s="2">
        <v>930</v>
      </c>
      <c r="F53" s="54">
        <v>140.21</v>
      </c>
      <c r="G53" s="55">
        <f t="shared" si="0"/>
        <v>130395.3</v>
      </c>
    </row>
    <row r="54" spans="2:7" ht="30" x14ac:dyDescent="0.2">
      <c r="B54" s="43" t="s">
        <v>511</v>
      </c>
      <c r="C54" s="3" t="s">
        <v>61</v>
      </c>
      <c r="D54" s="1" t="s">
        <v>54</v>
      </c>
      <c r="E54" s="2">
        <v>30</v>
      </c>
      <c r="F54" s="54">
        <v>207.76</v>
      </c>
      <c r="G54" s="55">
        <f t="shared" ref="G54:G68" si="1">E54*F54</f>
        <v>6232.7999999999993</v>
      </c>
    </row>
    <row r="55" spans="2:7" ht="30" x14ac:dyDescent="0.2">
      <c r="B55" s="32" t="s">
        <v>510</v>
      </c>
      <c r="C55" s="3" t="s">
        <v>63</v>
      </c>
      <c r="D55" s="1" t="s">
        <v>54</v>
      </c>
      <c r="E55" s="2">
        <v>140</v>
      </c>
      <c r="F55" s="54">
        <v>29.52</v>
      </c>
      <c r="G55" s="55">
        <f t="shared" si="1"/>
        <v>4132.8</v>
      </c>
    </row>
    <row r="56" spans="2:7" ht="30" x14ac:dyDescent="0.2">
      <c r="B56" s="32" t="s">
        <v>512</v>
      </c>
      <c r="C56" s="3" t="s">
        <v>63</v>
      </c>
      <c r="D56" s="1" t="s">
        <v>54</v>
      </c>
      <c r="E56" s="2">
        <v>120</v>
      </c>
      <c r="F56" s="54">
        <v>43.87</v>
      </c>
      <c r="G56" s="55">
        <f t="shared" si="1"/>
        <v>5264.4</v>
      </c>
    </row>
    <row r="57" spans="2:7" x14ac:dyDescent="0.2">
      <c r="B57" s="32" t="s">
        <v>271</v>
      </c>
      <c r="C57" s="1" t="s">
        <v>272</v>
      </c>
      <c r="D57" s="3" t="s">
        <v>6</v>
      </c>
      <c r="E57" s="3">
        <v>1</v>
      </c>
      <c r="F57" s="54">
        <v>115000</v>
      </c>
      <c r="G57" s="55">
        <f t="shared" si="1"/>
        <v>115000</v>
      </c>
    </row>
    <row r="58" spans="2:7" x14ac:dyDescent="0.2">
      <c r="B58" s="32" t="s">
        <v>273</v>
      </c>
      <c r="C58" s="1" t="s">
        <v>274</v>
      </c>
      <c r="D58" s="3" t="s">
        <v>6</v>
      </c>
      <c r="E58" s="3">
        <v>1</v>
      </c>
      <c r="F58" s="54">
        <v>32000</v>
      </c>
      <c r="G58" s="55">
        <f t="shared" si="1"/>
        <v>32000</v>
      </c>
    </row>
    <row r="59" spans="2:7" x14ac:dyDescent="0.2">
      <c r="B59" s="32" t="s">
        <v>275</v>
      </c>
      <c r="C59" s="1"/>
      <c r="D59" s="3" t="s">
        <v>6</v>
      </c>
      <c r="E59" s="3">
        <v>1</v>
      </c>
      <c r="F59" s="54">
        <v>14100</v>
      </c>
      <c r="G59" s="55">
        <f t="shared" si="1"/>
        <v>14100</v>
      </c>
    </row>
    <row r="60" spans="2:7" ht="30" x14ac:dyDescent="0.2">
      <c r="B60" s="32" t="s">
        <v>276</v>
      </c>
      <c r="C60" s="1" t="s">
        <v>277</v>
      </c>
      <c r="D60" s="3" t="s">
        <v>54</v>
      </c>
      <c r="E60" s="3">
        <v>40</v>
      </c>
      <c r="F60" s="54">
        <v>95.61</v>
      </c>
      <c r="G60" s="55">
        <f t="shared" si="1"/>
        <v>3824.4</v>
      </c>
    </row>
    <row r="61" spans="2:7" x14ac:dyDescent="0.2">
      <c r="B61" s="32" t="s">
        <v>278</v>
      </c>
      <c r="C61" s="1" t="s">
        <v>279</v>
      </c>
      <c r="D61" s="3" t="s">
        <v>54</v>
      </c>
      <c r="E61" s="3">
        <v>80</v>
      </c>
      <c r="F61" s="54">
        <v>199.06800000000001</v>
      </c>
      <c r="G61" s="55">
        <f t="shared" si="1"/>
        <v>15925.44</v>
      </c>
    </row>
    <row r="62" spans="2:7" x14ac:dyDescent="0.2">
      <c r="B62" s="32" t="s">
        <v>537</v>
      </c>
      <c r="C62" s="1"/>
      <c r="D62" s="3" t="s">
        <v>6</v>
      </c>
      <c r="E62" s="3">
        <v>1</v>
      </c>
      <c r="F62" s="54">
        <v>6590</v>
      </c>
      <c r="G62" s="55">
        <f t="shared" si="1"/>
        <v>6590</v>
      </c>
    </row>
    <row r="63" spans="2:7" x14ac:dyDescent="0.2">
      <c r="B63" s="32" t="s">
        <v>280</v>
      </c>
      <c r="C63" s="1"/>
      <c r="D63" s="3" t="s">
        <v>39</v>
      </c>
      <c r="E63" s="3">
        <v>2</v>
      </c>
      <c r="F63" s="54">
        <v>2200</v>
      </c>
      <c r="G63" s="55">
        <f t="shared" si="1"/>
        <v>4400</v>
      </c>
    </row>
    <row r="64" spans="2:7" x14ac:dyDescent="0.2">
      <c r="B64" s="43" t="s">
        <v>187</v>
      </c>
      <c r="C64" s="3"/>
      <c r="D64" s="3" t="s">
        <v>54</v>
      </c>
      <c r="E64" s="3">
        <v>30</v>
      </c>
      <c r="F64" s="54">
        <v>463.09</v>
      </c>
      <c r="G64" s="55">
        <f t="shared" si="1"/>
        <v>13892.699999999999</v>
      </c>
    </row>
    <row r="65" spans="2:7" ht="30" x14ac:dyDescent="0.2">
      <c r="B65" s="43" t="s">
        <v>510</v>
      </c>
      <c r="C65" s="17" t="s">
        <v>281</v>
      </c>
      <c r="D65" s="17" t="s">
        <v>54</v>
      </c>
      <c r="E65" s="17">
        <v>10</v>
      </c>
      <c r="F65" s="56">
        <v>29.52</v>
      </c>
      <c r="G65" s="57">
        <f t="shared" si="1"/>
        <v>295.2</v>
      </c>
    </row>
    <row r="66" spans="2:7" x14ac:dyDescent="0.2">
      <c r="B66" s="47" t="s">
        <v>282</v>
      </c>
      <c r="C66" s="20"/>
      <c r="D66" s="21"/>
      <c r="E66" s="21"/>
      <c r="F66" s="58"/>
      <c r="G66" s="59"/>
    </row>
    <row r="67" spans="2:7" ht="45" x14ac:dyDescent="0.2">
      <c r="B67" s="43" t="s">
        <v>283</v>
      </c>
      <c r="C67" s="18" t="s">
        <v>284</v>
      </c>
      <c r="D67" s="18" t="s">
        <v>54</v>
      </c>
      <c r="E67" s="18">
        <v>95</v>
      </c>
      <c r="F67" s="60">
        <v>93</v>
      </c>
      <c r="G67" s="61">
        <f t="shared" si="1"/>
        <v>8835</v>
      </c>
    </row>
    <row r="68" spans="2:7" ht="15.75" thickBot="1" x14ac:dyDescent="0.25">
      <c r="B68" s="44" t="s">
        <v>285</v>
      </c>
      <c r="C68" s="45" t="s">
        <v>286</v>
      </c>
      <c r="D68" s="45" t="s">
        <v>6</v>
      </c>
      <c r="E68" s="45">
        <v>2</v>
      </c>
      <c r="F68" s="62">
        <v>3889.02</v>
      </c>
      <c r="G68" s="63">
        <f t="shared" si="1"/>
        <v>7778.04</v>
      </c>
    </row>
    <row r="69" spans="2:7" x14ac:dyDescent="0.2">
      <c r="F69" s="64"/>
      <c r="G69" s="65"/>
    </row>
    <row r="70" spans="2:7" x14ac:dyDescent="0.2">
      <c r="F70" s="64"/>
      <c r="G70" s="65"/>
    </row>
    <row r="71" spans="2:7" x14ac:dyDescent="0.2">
      <c r="F71" s="64"/>
      <c r="G71" s="65"/>
    </row>
    <row r="72" spans="2:7" x14ac:dyDescent="0.2">
      <c r="F72" s="64"/>
      <c r="G72" s="65"/>
    </row>
    <row r="73" spans="2:7" ht="15.75" thickBot="1" x14ac:dyDescent="0.25">
      <c r="F73" s="64"/>
      <c r="G73" s="65"/>
    </row>
    <row r="74" spans="2:7" ht="15.75" thickBot="1" x14ac:dyDescent="0.25">
      <c r="F74" s="64"/>
      <c r="G74" s="66">
        <f>SUM(G4:G68)</f>
        <v>2389691.0199999996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3A05-76AA-411D-8AD7-C1EF0E5943A8}">
  <dimension ref="B2:G74"/>
  <sheetViews>
    <sheetView topLeftCell="A58" workbookViewId="0">
      <selection activeCell="C55" sqref="C55"/>
    </sheetView>
  </sheetViews>
  <sheetFormatPr defaultRowHeight="15" x14ac:dyDescent="0.2"/>
  <cols>
    <col min="1" max="1" width="9.33203125" style="9"/>
    <col min="2" max="2" width="44.1640625" style="15" customWidth="1"/>
    <col min="3" max="3" width="25" style="9" customWidth="1"/>
    <col min="4" max="5" width="9.33203125" style="9"/>
    <col min="6" max="6" width="29.83203125" style="4" customWidth="1"/>
    <col min="7" max="7" width="20.1640625" style="9" customWidth="1"/>
    <col min="8" max="16384" width="9.33203125" style="9"/>
  </cols>
  <sheetData>
    <row r="2" spans="2:7" ht="15.75" thickBot="1" x14ac:dyDescent="0.25"/>
    <row r="3" spans="2:7" ht="15.75" thickBot="1" x14ac:dyDescent="0.25">
      <c r="B3" s="37" t="s">
        <v>287</v>
      </c>
      <c r="C3" s="40"/>
      <c r="D3" s="40"/>
      <c r="E3" s="40"/>
    </row>
    <row r="4" spans="2:7" ht="30" x14ac:dyDescent="0.2">
      <c r="B4" s="30" t="s">
        <v>288</v>
      </c>
      <c r="C4" s="6" t="s">
        <v>499</v>
      </c>
      <c r="D4" s="6" t="s">
        <v>6</v>
      </c>
      <c r="E4" s="27">
        <v>45</v>
      </c>
      <c r="F4" s="52">
        <v>16628</v>
      </c>
      <c r="G4" s="67">
        <f>E4*F4</f>
        <v>748260</v>
      </c>
    </row>
    <row r="5" spans="2:7" ht="30" x14ac:dyDescent="0.2">
      <c r="B5" s="32" t="s">
        <v>289</v>
      </c>
      <c r="C5" s="1" t="s">
        <v>500</v>
      </c>
      <c r="D5" s="1" t="s">
        <v>6</v>
      </c>
      <c r="E5" s="25">
        <v>32</v>
      </c>
      <c r="F5" s="54">
        <v>12190</v>
      </c>
      <c r="G5" s="68">
        <f t="shared" ref="G5:G55" si="0">E5*F5</f>
        <v>390080</v>
      </c>
    </row>
    <row r="6" spans="2:7" x14ac:dyDescent="0.2">
      <c r="B6" s="32" t="s">
        <v>290</v>
      </c>
      <c r="C6" s="1" t="s">
        <v>496</v>
      </c>
      <c r="D6" s="1" t="s">
        <v>6</v>
      </c>
      <c r="E6" s="25">
        <v>4</v>
      </c>
      <c r="F6" s="54">
        <v>67980</v>
      </c>
      <c r="G6" s="68">
        <f t="shared" si="0"/>
        <v>271920</v>
      </c>
    </row>
    <row r="7" spans="2:7" x14ac:dyDescent="0.2">
      <c r="B7" s="32" t="s">
        <v>291</v>
      </c>
      <c r="C7" s="1" t="s">
        <v>292</v>
      </c>
      <c r="D7" s="1" t="s">
        <v>6</v>
      </c>
      <c r="E7" s="25">
        <v>1</v>
      </c>
      <c r="F7" s="54">
        <v>470800</v>
      </c>
      <c r="G7" s="68">
        <f t="shared" si="0"/>
        <v>470800</v>
      </c>
    </row>
    <row r="8" spans="2:7" ht="30" x14ac:dyDescent="0.2">
      <c r="B8" s="32" t="s">
        <v>293</v>
      </c>
      <c r="C8" s="1" t="s">
        <v>354</v>
      </c>
      <c r="D8" s="1" t="s">
        <v>6</v>
      </c>
      <c r="E8" s="25">
        <v>5</v>
      </c>
      <c r="F8" s="54">
        <v>640</v>
      </c>
      <c r="G8" s="68">
        <f t="shared" si="0"/>
        <v>3200</v>
      </c>
    </row>
    <row r="9" spans="2:7" ht="30" x14ac:dyDescent="0.2">
      <c r="B9" s="32" t="s">
        <v>294</v>
      </c>
      <c r="C9" s="1" t="s">
        <v>295</v>
      </c>
      <c r="D9" s="1" t="s">
        <v>6</v>
      </c>
      <c r="E9" s="25">
        <v>1</v>
      </c>
      <c r="F9" s="54">
        <v>185078.95</v>
      </c>
      <c r="G9" s="68">
        <f t="shared" si="0"/>
        <v>185078.95</v>
      </c>
    </row>
    <row r="10" spans="2:7" x14ac:dyDescent="0.2">
      <c r="B10" s="32" t="s">
        <v>296</v>
      </c>
      <c r="C10" s="1" t="s">
        <v>297</v>
      </c>
      <c r="D10" s="1" t="s">
        <v>6</v>
      </c>
      <c r="E10" s="25">
        <v>32</v>
      </c>
      <c r="F10" s="54">
        <v>3600</v>
      </c>
      <c r="G10" s="68">
        <f t="shared" si="0"/>
        <v>115200</v>
      </c>
    </row>
    <row r="11" spans="2:7" x14ac:dyDescent="0.2">
      <c r="B11" s="32" t="s">
        <v>298</v>
      </c>
      <c r="C11" s="1" t="s">
        <v>299</v>
      </c>
      <c r="D11" s="1" t="s">
        <v>6</v>
      </c>
      <c r="E11" s="25">
        <v>4</v>
      </c>
      <c r="F11" s="54">
        <v>6480</v>
      </c>
      <c r="G11" s="68">
        <f t="shared" si="0"/>
        <v>25920</v>
      </c>
    </row>
    <row r="12" spans="2:7" ht="30" x14ac:dyDescent="0.2">
      <c r="B12" s="32" t="s">
        <v>300</v>
      </c>
      <c r="C12" s="1" t="s">
        <v>301</v>
      </c>
      <c r="D12" s="1" t="s">
        <v>6</v>
      </c>
      <c r="E12" s="25">
        <v>2</v>
      </c>
      <c r="F12" s="54">
        <v>2770</v>
      </c>
      <c r="G12" s="68">
        <f t="shared" si="0"/>
        <v>5540</v>
      </c>
    </row>
    <row r="13" spans="2:7" x14ac:dyDescent="0.2">
      <c r="B13" s="32" t="s">
        <v>302</v>
      </c>
      <c r="C13" s="1" t="s">
        <v>303</v>
      </c>
      <c r="D13" s="1" t="s">
        <v>6</v>
      </c>
      <c r="E13" s="25">
        <v>8</v>
      </c>
      <c r="F13" s="54">
        <v>5.8</v>
      </c>
      <c r="G13" s="68">
        <f t="shared" si="0"/>
        <v>46.4</v>
      </c>
    </row>
    <row r="14" spans="2:7" ht="30" x14ac:dyDescent="0.2">
      <c r="B14" s="32" t="s">
        <v>304</v>
      </c>
      <c r="C14" s="1" t="s">
        <v>501</v>
      </c>
      <c r="D14" s="1" t="s">
        <v>6</v>
      </c>
      <c r="E14" s="25">
        <v>4</v>
      </c>
      <c r="F14" s="54">
        <v>77356</v>
      </c>
      <c r="G14" s="68">
        <f t="shared" si="0"/>
        <v>309424</v>
      </c>
    </row>
    <row r="15" spans="2:7" x14ac:dyDescent="0.2">
      <c r="B15" s="32" t="s">
        <v>305</v>
      </c>
      <c r="C15" s="1" t="s">
        <v>306</v>
      </c>
      <c r="D15" s="1" t="s">
        <v>6</v>
      </c>
      <c r="E15" s="25">
        <v>4</v>
      </c>
      <c r="F15" s="54">
        <v>9800</v>
      </c>
      <c r="G15" s="68">
        <f t="shared" si="0"/>
        <v>39200</v>
      </c>
    </row>
    <row r="16" spans="2:7" ht="30" x14ac:dyDescent="0.2">
      <c r="B16" s="32" t="s">
        <v>307</v>
      </c>
      <c r="C16" s="1" t="s">
        <v>308</v>
      </c>
      <c r="D16" s="1" t="s">
        <v>6</v>
      </c>
      <c r="E16" s="25">
        <v>4</v>
      </c>
      <c r="F16" s="54">
        <v>2000</v>
      </c>
      <c r="G16" s="68">
        <f t="shared" si="0"/>
        <v>8000</v>
      </c>
    </row>
    <row r="17" spans="2:7" ht="30" x14ac:dyDescent="0.2">
      <c r="B17" s="32" t="s">
        <v>309</v>
      </c>
      <c r="C17" s="1" t="s">
        <v>310</v>
      </c>
      <c r="D17" s="1" t="s">
        <v>6</v>
      </c>
      <c r="E17" s="25">
        <v>4</v>
      </c>
      <c r="F17" s="54">
        <v>9900</v>
      </c>
      <c r="G17" s="68">
        <f t="shared" si="0"/>
        <v>39600</v>
      </c>
    </row>
    <row r="18" spans="2:7" x14ac:dyDescent="0.2">
      <c r="B18" s="32" t="s">
        <v>311</v>
      </c>
      <c r="C18" s="1" t="s">
        <v>312</v>
      </c>
      <c r="D18" s="1" t="s">
        <v>6</v>
      </c>
      <c r="E18" s="25">
        <v>4</v>
      </c>
      <c r="F18" s="54">
        <v>2886</v>
      </c>
      <c r="G18" s="68">
        <f t="shared" si="0"/>
        <v>11544</v>
      </c>
    </row>
    <row r="19" spans="2:7" ht="30" x14ac:dyDescent="0.2">
      <c r="B19" s="32" t="s">
        <v>313</v>
      </c>
      <c r="C19" s="5" t="s">
        <v>314</v>
      </c>
      <c r="D19" s="5" t="s">
        <v>6</v>
      </c>
      <c r="E19" s="26">
        <v>4</v>
      </c>
      <c r="F19" s="56">
        <v>5400</v>
      </c>
      <c r="G19" s="69">
        <f t="shared" si="0"/>
        <v>21600</v>
      </c>
    </row>
    <row r="20" spans="2:7" ht="28.5" x14ac:dyDescent="0.2">
      <c r="B20" s="33" t="s">
        <v>315</v>
      </c>
      <c r="C20" s="8"/>
      <c r="D20" s="7"/>
      <c r="E20" s="7"/>
      <c r="F20" s="58"/>
      <c r="G20" s="70"/>
    </row>
    <row r="21" spans="2:7" ht="45" x14ac:dyDescent="0.2">
      <c r="B21" s="32" t="s">
        <v>504</v>
      </c>
      <c r="C21" s="6" t="s">
        <v>316</v>
      </c>
      <c r="D21" s="6" t="s">
        <v>6</v>
      </c>
      <c r="E21" s="27">
        <v>1</v>
      </c>
      <c r="F21" s="60">
        <v>49560.31</v>
      </c>
      <c r="G21" s="71">
        <f t="shared" si="0"/>
        <v>49560.31</v>
      </c>
    </row>
    <row r="22" spans="2:7" x14ac:dyDescent="0.2">
      <c r="B22" s="32" t="s">
        <v>317</v>
      </c>
      <c r="C22" s="1" t="s">
        <v>318</v>
      </c>
      <c r="D22" s="1" t="s">
        <v>6</v>
      </c>
      <c r="E22" s="25">
        <v>1</v>
      </c>
      <c r="F22" s="54">
        <v>57190</v>
      </c>
      <c r="G22" s="68">
        <f t="shared" si="0"/>
        <v>57190</v>
      </c>
    </row>
    <row r="23" spans="2:7" x14ac:dyDescent="0.2">
      <c r="B23" s="32" t="s">
        <v>319</v>
      </c>
      <c r="C23" s="1" t="s">
        <v>320</v>
      </c>
      <c r="D23" s="1" t="s">
        <v>6</v>
      </c>
      <c r="E23" s="25">
        <v>2</v>
      </c>
      <c r="F23" s="54">
        <v>20900</v>
      </c>
      <c r="G23" s="68">
        <f t="shared" si="0"/>
        <v>41800</v>
      </c>
    </row>
    <row r="24" spans="2:7" ht="45" x14ac:dyDescent="0.2">
      <c r="B24" s="32" t="s">
        <v>513</v>
      </c>
      <c r="C24" s="1" t="s">
        <v>321</v>
      </c>
      <c r="D24" s="1" t="s">
        <v>6</v>
      </c>
      <c r="E24" s="25">
        <v>1</v>
      </c>
      <c r="F24" s="54">
        <v>23699</v>
      </c>
      <c r="G24" s="72">
        <f t="shared" si="0"/>
        <v>23699</v>
      </c>
    </row>
    <row r="25" spans="2:7" x14ac:dyDescent="0.2">
      <c r="B25" s="32" t="s">
        <v>322</v>
      </c>
      <c r="C25" s="6" t="s">
        <v>323</v>
      </c>
      <c r="D25" s="6" t="s">
        <v>6</v>
      </c>
      <c r="E25" s="27">
        <v>1</v>
      </c>
      <c r="F25" s="60">
        <v>756800</v>
      </c>
      <c r="G25" s="71">
        <f t="shared" si="0"/>
        <v>756800</v>
      </c>
    </row>
    <row r="26" spans="2:7" x14ac:dyDescent="0.2">
      <c r="B26" s="32" t="s">
        <v>324</v>
      </c>
      <c r="C26" s="1" t="s">
        <v>325</v>
      </c>
      <c r="D26" s="1" t="s">
        <v>6</v>
      </c>
      <c r="E26" s="25">
        <v>8</v>
      </c>
      <c r="F26" s="54">
        <v>35990</v>
      </c>
      <c r="G26" s="68">
        <f t="shared" si="0"/>
        <v>287920</v>
      </c>
    </row>
    <row r="27" spans="2:7" ht="30" x14ac:dyDescent="0.2">
      <c r="B27" s="32" t="s">
        <v>294</v>
      </c>
      <c r="C27" s="1" t="s">
        <v>326</v>
      </c>
      <c r="D27" s="1" t="s">
        <v>6</v>
      </c>
      <c r="E27" s="25">
        <v>1</v>
      </c>
      <c r="F27" s="54">
        <v>360978.51</v>
      </c>
      <c r="G27" s="68">
        <f t="shared" si="0"/>
        <v>360978.51</v>
      </c>
    </row>
    <row r="28" spans="2:7" x14ac:dyDescent="0.2">
      <c r="B28" s="32" t="s">
        <v>327</v>
      </c>
      <c r="C28" s="1" t="s">
        <v>328</v>
      </c>
      <c r="D28" s="1" t="s">
        <v>6</v>
      </c>
      <c r="E28" s="25">
        <v>1</v>
      </c>
      <c r="F28" s="54">
        <v>270140.48</v>
      </c>
      <c r="G28" s="68">
        <f t="shared" si="0"/>
        <v>270140.48</v>
      </c>
    </row>
    <row r="29" spans="2:7" x14ac:dyDescent="0.2">
      <c r="B29" s="32" t="s">
        <v>329</v>
      </c>
      <c r="C29" s="1" t="s">
        <v>330</v>
      </c>
      <c r="D29" s="1" t="s">
        <v>6</v>
      </c>
      <c r="E29" s="25">
        <v>1</v>
      </c>
      <c r="F29" s="54">
        <v>9145</v>
      </c>
      <c r="G29" s="68">
        <f t="shared" si="0"/>
        <v>9145</v>
      </c>
    </row>
    <row r="30" spans="2:7" x14ac:dyDescent="0.2">
      <c r="B30" s="32" t="s">
        <v>331</v>
      </c>
      <c r="C30" s="1" t="s">
        <v>332</v>
      </c>
      <c r="D30" s="1" t="s">
        <v>6</v>
      </c>
      <c r="E30" s="25">
        <v>1</v>
      </c>
      <c r="F30" s="54">
        <v>3627.57</v>
      </c>
      <c r="G30" s="68">
        <f t="shared" si="0"/>
        <v>3627.57</v>
      </c>
    </row>
    <row r="31" spans="2:7" ht="30" x14ac:dyDescent="0.2">
      <c r="B31" s="32" t="s">
        <v>333</v>
      </c>
      <c r="C31" s="1" t="s">
        <v>334</v>
      </c>
      <c r="D31" s="1" t="s">
        <v>6</v>
      </c>
      <c r="E31" s="25">
        <v>1</v>
      </c>
      <c r="F31" s="54">
        <v>1089.69</v>
      </c>
      <c r="G31" s="68">
        <f t="shared" si="0"/>
        <v>1089.69</v>
      </c>
    </row>
    <row r="32" spans="2:7" x14ac:dyDescent="0.2">
      <c r="B32" s="32" t="s">
        <v>335</v>
      </c>
      <c r="C32" s="1" t="s">
        <v>336</v>
      </c>
      <c r="D32" s="1" t="s">
        <v>6</v>
      </c>
      <c r="E32" s="25">
        <v>1</v>
      </c>
      <c r="F32" s="54">
        <v>2455.64</v>
      </c>
      <c r="G32" s="68">
        <f t="shared" si="0"/>
        <v>2455.64</v>
      </c>
    </row>
    <row r="33" spans="2:7" ht="30" x14ac:dyDescent="0.2">
      <c r="B33" s="32" t="s">
        <v>337</v>
      </c>
      <c r="C33" s="1" t="s">
        <v>338</v>
      </c>
      <c r="D33" s="1" t="s">
        <v>6</v>
      </c>
      <c r="E33" s="25">
        <v>1</v>
      </c>
      <c r="F33" s="54">
        <v>1253.07</v>
      </c>
      <c r="G33" s="68">
        <f t="shared" si="0"/>
        <v>1253.07</v>
      </c>
    </row>
    <row r="34" spans="2:7" x14ac:dyDescent="0.2">
      <c r="B34" s="32" t="s">
        <v>339</v>
      </c>
      <c r="C34" s="1" t="s">
        <v>340</v>
      </c>
      <c r="D34" s="1" t="s">
        <v>6</v>
      </c>
      <c r="E34" s="25">
        <v>1</v>
      </c>
      <c r="F34" s="54">
        <v>428</v>
      </c>
      <c r="G34" s="68">
        <f t="shared" si="0"/>
        <v>428</v>
      </c>
    </row>
    <row r="35" spans="2:7" x14ac:dyDescent="0.2">
      <c r="B35" s="32" t="s">
        <v>341</v>
      </c>
      <c r="C35" s="1" t="s">
        <v>342</v>
      </c>
      <c r="D35" s="1" t="s">
        <v>6</v>
      </c>
      <c r="E35" s="25">
        <v>1</v>
      </c>
      <c r="F35" s="54">
        <v>1390.95</v>
      </c>
      <c r="G35" s="68">
        <f t="shared" si="0"/>
        <v>1390.95</v>
      </c>
    </row>
    <row r="36" spans="2:7" x14ac:dyDescent="0.2">
      <c r="B36" s="32" t="s">
        <v>343</v>
      </c>
      <c r="C36" s="1" t="s">
        <v>344</v>
      </c>
      <c r="D36" s="1" t="s">
        <v>6</v>
      </c>
      <c r="E36" s="25">
        <v>1</v>
      </c>
      <c r="F36" s="54">
        <v>615.37</v>
      </c>
      <c r="G36" s="68">
        <f t="shared" si="0"/>
        <v>615.37</v>
      </c>
    </row>
    <row r="37" spans="2:7" ht="30" x14ac:dyDescent="0.2">
      <c r="B37" s="32" t="s">
        <v>345</v>
      </c>
      <c r="C37" s="1" t="s">
        <v>346</v>
      </c>
      <c r="D37" s="1" t="s">
        <v>6</v>
      </c>
      <c r="E37" s="25">
        <v>1</v>
      </c>
      <c r="F37" s="54">
        <v>9655.26</v>
      </c>
      <c r="G37" s="68">
        <f t="shared" si="0"/>
        <v>9655.26</v>
      </c>
    </row>
    <row r="38" spans="2:7" x14ac:dyDescent="0.2">
      <c r="B38" s="32" t="s">
        <v>347</v>
      </c>
      <c r="C38" s="1" t="s">
        <v>348</v>
      </c>
      <c r="D38" s="1" t="s">
        <v>6</v>
      </c>
      <c r="E38" s="25">
        <v>200</v>
      </c>
      <c r="F38" s="54">
        <v>6</v>
      </c>
      <c r="G38" s="68">
        <f t="shared" si="0"/>
        <v>1200</v>
      </c>
    </row>
    <row r="39" spans="2:7" x14ac:dyDescent="0.2">
      <c r="B39" s="32" t="s">
        <v>349</v>
      </c>
      <c r="C39" s="1" t="s">
        <v>350</v>
      </c>
      <c r="D39" s="1" t="s">
        <v>6</v>
      </c>
      <c r="E39" s="25">
        <v>200</v>
      </c>
      <c r="F39" s="54">
        <v>9</v>
      </c>
      <c r="G39" s="68">
        <f t="shared" si="0"/>
        <v>1800</v>
      </c>
    </row>
    <row r="40" spans="2:7" ht="30" x14ac:dyDescent="0.2">
      <c r="B40" s="32" t="s">
        <v>351</v>
      </c>
      <c r="C40" s="1" t="s">
        <v>352</v>
      </c>
      <c r="D40" s="1" t="s">
        <v>6</v>
      </c>
      <c r="E40" s="25">
        <v>47</v>
      </c>
      <c r="F40" s="54">
        <v>166.32</v>
      </c>
      <c r="G40" s="68">
        <f t="shared" si="0"/>
        <v>7817.04</v>
      </c>
    </row>
    <row r="41" spans="2:7" ht="30" x14ac:dyDescent="0.2">
      <c r="B41" s="32" t="s">
        <v>353</v>
      </c>
      <c r="C41" s="1" t="s">
        <v>354</v>
      </c>
      <c r="D41" s="1" t="s">
        <v>6</v>
      </c>
      <c r="E41" s="25">
        <v>5</v>
      </c>
      <c r="F41" s="54">
        <v>640.73</v>
      </c>
      <c r="G41" s="68">
        <f t="shared" si="0"/>
        <v>3203.65</v>
      </c>
    </row>
    <row r="42" spans="2:7" ht="60" x14ac:dyDescent="0.2">
      <c r="B42" s="32" t="s">
        <v>506</v>
      </c>
      <c r="C42" s="1" t="s">
        <v>355</v>
      </c>
      <c r="D42" s="1" t="s">
        <v>6</v>
      </c>
      <c r="E42" s="25">
        <v>4</v>
      </c>
      <c r="F42" s="54">
        <v>718.03</v>
      </c>
      <c r="G42" s="68">
        <f t="shared" si="0"/>
        <v>2872.12</v>
      </c>
    </row>
    <row r="43" spans="2:7" ht="45" x14ac:dyDescent="0.2">
      <c r="B43" s="32" t="s">
        <v>505</v>
      </c>
      <c r="C43" s="1" t="s">
        <v>356</v>
      </c>
      <c r="D43" s="1" t="s">
        <v>6</v>
      </c>
      <c r="E43" s="25">
        <v>1</v>
      </c>
      <c r="F43" s="54">
        <v>8147.15</v>
      </c>
      <c r="G43" s="68">
        <f t="shared" si="0"/>
        <v>8147.15</v>
      </c>
    </row>
    <row r="44" spans="2:7" ht="45" x14ac:dyDescent="0.2">
      <c r="B44" s="32" t="s">
        <v>507</v>
      </c>
      <c r="C44" s="1" t="s">
        <v>357</v>
      </c>
      <c r="D44" s="1" t="s">
        <v>6</v>
      </c>
      <c r="E44" s="25">
        <v>4</v>
      </c>
      <c r="F44" s="54">
        <v>1980</v>
      </c>
      <c r="G44" s="68">
        <f t="shared" si="0"/>
        <v>7920</v>
      </c>
    </row>
    <row r="45" spans="2:7" x14ac:dyDescent="0.2">
      <c r="B45" s="32" t="s">
        <v>358</v>
      </c>
      <c r="C45" s="1" t="s">
        <v>502</v>
      </c>
      <c r="D45" s="1" t="s">
        <v>6</v>
      </c>
      <c r="E45" s="25">
        <v>1</v>
      </c>
      <c r="F45" s="54">
        <v>464</v>
      </c>
      <c r="G45" s="68">
        <f t="shared" si="0"/>
        <v>464</v>
      </c>
    </row>
    <row r="46" spans="2:7" x14ac:dyDescent="0.2">
      <c r="B46" s="32" t="s">
        <v>359</v>
      </c>
      <c r="C46" s="1" t="s">
        <v>503</v>
      </c>
      <c r="D46" s="1" t="s">
        <v>6</v>
      </c>
      <c r="E46" s="25">
        <v>1</v>
      </c>
      <c r="F46" s="54">
        <v>2286.69</v>
      </c>
      <c r="G46" s="68">
        <f t="shared" si="0"/>
        <v>2286.69</v>
      </c>
    </row>
    <row r="47" spans="2:7" ht="30" x14ac:dyDescent="0.2">
      <c r="B47" s="32" t="s">
        <v>539</v>
      </c>
      <c r="C47" s="25">
        <v>3037038</v>
      </c>
      <c r="D47" s="1" t="s">
        <v>6</v>
      </c>
      <c r="E47" s="25">
        <v>1</v>
      </c>
      <c r="F47" s="54">
        <v>290</v>
      </c>
      <c r="G47" s="68">
        <f t="shared" si="0"/>
        <v>290</v>
      </c>
    </row>
    <row r="48" spans="2:7" x14ac:dyDescent="0.2">
      <c r="B48" s="32" t="s">
        <v>360</v>
      </c>
      <c r="C48" s="1" t="s">
        <v>217</v>
      </c>
      <c r="D48" s="1" t="s">
        <v>6</v>
      </c>
      <c r="E48" s="25">
        <v>1</v>
      </c>
      <c r="F48" s="54">
        <v>980</v>
      </c>
      <c r="G48" s="68">
        <f t="shared" si="0"/>
        <v>980</v>
      </c>
    </row>
    <row r="49" spans="2:7" ht="30" x14ac:dyDescent="0.2">
      <c r="B49" s="32" t="s">
        <v>361</v>
      </c>
      <c r="C49" s="5" t="s">
        <v>362</v>
      </c>
      <c r="D49" s="5" t="s">
        <v>54</v>
      </c>
      <c r="E49" s="26">
        <v>1</v>
      </c>
      <c r="F49" s="56">
        <v>189.41978</v>
      </c>
      <c r="G49" s="69">
        <f t="shared" si="0"/>
        <v>189.41978</v>
      </c>
    </row>
    <row r="50" spans="2:7" ht="28.5" x14ac:dyDescent="0.2">
      <c r="B50" s="33" t="s">
        <v>363</v>
      </c>
      <c r="C50" s="8"/>
      <c r="D50" s="7"/>
      <c r="E50" s="7"/>
      <c r="F50" s="58"/>
      <c r="G50" s="70"/>
    </row>
    <row r="51" spans="2:7" x14ac:dyDescent="0.2">
      <c r="B51" s="32" t="s">
        <v>364</v>
      </c>
      <c r="C51" s="27">
        <v>1008284</v>
      </c>
      <c r="D51" s="6" t="s">
        <v>6</v>
      </c>
      <c r="E51" s="27">
        <v>4</v>
      </c>
      <c r="F51" s="60">
        <v>400</v>
      </c>
      <c r="G51" s="71">
        <f t="shared" si="0"/>
        <v>1600</v>
      </c>
    </row>
    <row r="52" spans="2:7" ht="30" x14ac:dyDescent="0.2">
      <c r="B52" s="32" t="s">
        <v>365</v>
      </c>
      <c r="C52" s="1" t="s">
        <v>495</v>
      </c>
      <c r="D52" s="1" t="s">
        <v>54</v>
      </c>
      <c r="E52" s="25">
        <v>2000</v>
      </c>
      <c r="F52" s="54">
        <v>122.958</v>
      </c>
      <c r="G52" s="68">
        <f t="shared" si="0"/>
        <v>245916</v>
      </c>
    </row>
    <row r="53" spans="2:7" ht="30" x14ac:dyDescent="0.2">
      <c r="B53" s="32" t="s">
        <v>366</v>
      </c>
      <c r="C53" s="1" t="s">
        <v>494</v>
      </c>
      <c r="D53" s="1" t="s">
        <v>54</v>
      </c>
      <c r="E53" s="25">
        <v>100</v>
      </c>
      <c r="F53" s="54">
        <v>186.85</v>
      </c>
      <c r="G53" s="68">
        <f t="shared" si="0"/>
        <v>18685</v>
      </c>
    </row>
    <row r="54" spans="2:7" ht="60" x14ac:dyDescent="0.2">
      <c r="B54" s="32" t="s">
        <v>538</v>
      </c>
      <c r="C54" s="1" t="s">
        <v>367</v>
      </c>
      <c r="D54" s="1" t="s">
        <v>54</v>
      </c>
      <c r="E54" s="25">
        <v>150</v>
      </c>
      <c r="F54" s="54">
        <v>170</v>
      </c>
      <c r="G54" s="68">
        <f t="shared" si="0"/>
        <v>25500</v>
      </c>
    </row>
    <row r="55" spans="2:7" ht="105" x14ac:dyDescent="0.2">
      <c r="B55" s="32" t="s">
        <v>508</v>
      </c>
      <c r="C55" s="1" t="s">
        <v>368</v>
      </c>
      <c r="D55" s="1" t="s">
        <v>54</v>
      </c>
      <c r="E55" s="25">
        <v>280</v>
      </c>
      <c r="F55" s="54">
        <v>87</v>
      </c>
      <c r="G55" s="68">
        <f t="shared" si="0"/>
        <v>24360</v>
      </c>
    </row>
    <row r="56" spans="2:7" ht="30" x14ac:dyDescent="0.2">
      <c r="B56" s="32" t="s">
        <v>369</v>
      </c>
      <c r="C56" s="1" t="s">
        <v>370</v>
      </c>
      <c r="D56" s="1" t="s">
        <v>54</v>
      </c>
      <c r="E56" s="25">
        <v>400</v>
      </c>
      <c r="F56" s="54">
        <v>32.229999999999997</v>
      </c>
      <c r="G56" s="68">
        <f t="shared" ref="G56:G68" si="1">E56*F56</f>
        <v>12891.999999999998</v>
      </c>
    </row>
    <row r="57" spans="2:7" ht="30" x14ac:dyDescent="0.2">
      <c r="B57" s="32" t="s">
        <v>371</v>
      </c>
      <c r="C57" s="1" t="s">
        <v>372</v>
      </c>
      <c r="D57" s="1" t="s">
        <v>54</v>
      </c>
      <c r="E57" s="25">
        <v>1600</v>
      </c>
      <c r="F57" s="54">
        <v>30.24</v>
      </c>
      <c r="G57" s="68">
        <f t="shared" si="1"/>
        <v>48384</v>
      </c>
    </row>
    <row r="58" spans="2:7" ht="30" x14ac:dyDescent="0.2">
      <c r="B58" s="32" t="s">
        <v>373</v>
      </c>
      <c r="C58" s="1"/>
      <c r="D58" s="1" t="s">
        <v>54</v>
      </c>
      <c r="E58" s="25">
        <v>15</v>
      </c>
      <c r="F58" s="54">
        <v>108.78</v>
      </c>
      <c r="G58" s="68">
        <f t="shared" si="1"/>
        <v>1631.7</v>
      </c>
    </row>
    <row r="59" spans="2:7" ht="30" x14ac:dyDescent="0.2">
      <c r="B59" s="32" t="s">
        <v>374</v>
      </c>
      <c r="C59" s="1"/>
      <c r="D59" s="1" t="s">
        <v>54</v>
      </c>
      <c r="E59" s="25">
        <v>10</v>
      </c>
      <c r="F59" s="54">
        <v>39.840000000000003</v>
      </c>
      <c r="G59" s="68">
        <f t="shared" si="1"/>
        <v>398.40000000000003</v>
      </c>
    </row>
    <row r="60" spans="2:7" x14ac:dyDescent="0.2">
      <c r="B60" s="32" t="s">
        <v>375</v>
      </c>
      <c r="C60" s="1" t="s">
        <v>497</v>
      </c>
      <c r="D60" s="1" t="s">
        <v>6</v>
      </c>
      <c r="E60" s="25">
        <v>45</v>
      </c>
      <c r="F60" s="54">
        <v>990</v>
      </c>
      <c r="G60" s="68">
        <f t="shared" si="1"/>
        <v>44550</v>
      </c>
    </row>
    <row r="61" spans="2:7" x14ac:dyDescent="0.2">
      <c r="B61" s="32" t="s">
        <v>375</v>
      </c>
      <c r="C61" s="1" t="s">
        <v>376</v>
      </c>
      <c r="D61" s="1" t="s">
        <v>6</v>
      </c>
      <c r="E61" s="25">
        <v>32</v>
      </c>
      <c r="F61" s="54">
        <v>2280</v>
      </c>
      <c r="G61" s="68">
        <f t="shared" si="1"/>
        <v>72960</v>
      </c>
    </row>
    <row r="62" spans="2:7" x14ac:dyDescent="0.2">
      <c r="B62" s="32" t="s">
        <v>377</v>
      </c>
      <c r="C62" s="1" t="s">
        <v>378</v>
      </c>
      <c r="D62" s="1" t="s">
        <v>6</v>
      </c>
      <c r="E62" s="25">
        <v>12</v>
      </c>
      <c r="F62" s="54">
        <v>2760</v>
      </c>
      <c r="G62" s="68">
        <f t="shared" si="1"/>
        <v>33120</v>
      </c>
    </row>
    <row r="63" spans="2:7" ht="30" x14ac:dyDescent="0.2">
      <c r="B63" s="32" t="s">
        <v>509</v>
      </c>
      <c r="C63" s="5" t="s">
        <v>379</v>
      </c>
      <c r="D63" s="5" t="s">
        <v>54</v>
      </c>
      <c r="E63" s="26">
        <v>300</v>
      </c>
      <c r="F63" s="56">
        <v>13</v>
      </c>
      <c r="G63" s="69">
        <f t="shared" si="1"/>
        <v>3900</v>
      </c>
    </row>
    <row r="64" spans="2:7" x14ac:dyDescent="0.2">
      <c r="B64" s="33" t="s">
        <v>380</v>
      </c>
      <c r="C64" s="8"/>
      <c r="D64" s="7"/>
      <c r="E64" s="7"/>
      <c r="F64" s="58"/>
      <c r="G64" s="70"/>
    </row>
    <row r="65" spans="2:7" ht="30" x14ac:dyDescent="0.2">
      <c r="B65" s="32" t="s">
        <v>381</v>
      </c>
      <c r="C65" s="6" t="s">
        <v>103</v>
      </c>
      <c r="D65" s="6" t="s">
        <v>54</v>
      </c>
      <c r="E65" s="27">
        <v>300</v>
      </c>
      <c r="F65" s="60">
        <v>119.6</v>
      </c>
      <c r="G65" s="71">
        <f t="shared" si="1"/>
        <v>35880</v>
      </c>
    </row>
    <row r="66" spans="2:7" x14ac:dyDescent="0.2">
      <c r="B66" s="32" t="s">
        <v>382</v>
      </c>
      <c r="C66" s="1">
        <v>15063</v>
      </c>
      <c r="D66" s="1" t="s">
        <v>6</v>
      </c>
      <c r="E66" s="25">
        <v>19</v>
      </c>
      <c r="F66" s="54">
        <v>138.26</v>
      </c>
      <c r="G66" s="68">
        <f t="shared" si="1"/>
        <v>2626.9399999999996</v>
      </c>
    </row>
    <row r="67" spans="2:7" x14ac:dyDescent="0.2">
      <c r="B67" s="32" t="s">
        <v>383</v>
      </c>
      <c r="C67" s="1">
        <v>19063</v>
      </c>
      <c r="D67" s="1" t="s">
        <v>6</v>
      </c>
      <c r="E67" s="25">
        <v>2</v>
      </c>
      <c r="F67" s="54">
        <v>853.04</v>
      </c>
      <c r="G67" s="68">
        <f t="shared" si="1"/>
        <v>1706.08</v>
      </c>
    </row>
    <row r="68" spans="2:7" ht="17.25" thickBot="1" x14ac:dyDescent="0.25">
      <c r="B68" s="35" t="s">
        <v>384</v>
      </c>
      <c r="C68" s="46"/>
      <c r="D68" s="46" t="s">
        <v>498</v>
      </c>
      <c r="E68" s="48">
        <v>18</v>
      </c>
      <c r="F68" s="73">
        <v>1800</v>
      </c>
      <c r="G68" s="74">
        <f t="shared" si="1"/>
        <v>32400</v>
      </c>
    </row>
    <row r="69" spans="2:7" x14ac:dyDescent="0.2">
      <c r="F69" s="64"/>
      <c r="G69" s="75"/>
    </row>
    <row r="70" spans="2:7" x14ac:dyDescent="0.2">
      <c r="F70" s="64"/>
      <c r="G70" s="75"/>
    </row>
    <row r="71" spans="2:7" x14ac:dyDescent="0.2">
      <c r="F71" s="64"/>
      <c r="G71" s="75"/>
    </row>
    <row r="72" spans="2:7" x14ac:dyDescent="0.2">
      <c r="F72" s="64"/>
      <c r="G72" s="75"/>
    </row>
    <row r="73" spans="2:7" ht="15.75" thickBot="1" x14ac:dyDescent="0.25">
      <c r="F73" s="64"/>
      <c r="G73" s="75"/>
    </row>
    <row r="74" spans="2:7" ht="15.75" thickBot="1" x14ac:dyDescent="0.25">
      <c r="F74" s="64"/>
      <c r="G74" s="76">
        <f>SUM(G4:G68)</f>
        <v>5166842.3897800036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1239-737E-4358-AC00-E6C44F9E978B}">
  <dimension ref="B1:G70"/>
  <sheetViews>
    <sheetView topLeftCell="A51" workbookViewId="0">
      <selection activeCell="B2" sqref="B2:G64"/>
    </sheetView>
  </sheetViews>
  <sheetFormatPr defaultRowHeight="15" x14ac:dyDescent="0.2"/>
  <cols>
    <col min="1" max="1" width="9.33203125" style="9"/>
    <col min="2" max="2" width="48" style="15" customWidth="1"/>
    <col min="3" max="3" width="26.5" style="9" customWidth="1"/>
    <col min="4" max="4" width="12.33203125" style="9" customWidth="1"/>
    <col min="5" max="5" width="14.5" style="9" customWidth="1"/>
    <col min="6" max="6" width="17.6640625" style="4" customWidth="1"/>
    <col min="7" max="7" width="20.6640625" style="9" customWidth="1"/>
    <col min="8" max="16384" width="9.33203125" style="9"/>
  </cols>
  <sheetData>
    <row r="1" spans="2:7" ht="15.75" thickBot="1" x14ac:dyDescent="0.25"/>
    <row r="2" spans="2:7" ht="43.5" thickBot="1" x14ac:dyDescent="0.25">
      <c r="B2" s="37" t="s">
        <v>106</v>
      </c>
    </row>
    <row r="3" spans="2:7" ht="45" x14ac:dyDescent="0.2">
      <c r="B3" s="30" t="s">
        <v>107</v>
      </c>
      <c r="C3" s="31" t="s">
        <v>108</v>
      </c>
      <c r="D3" s="31" t="s">
        <v>105</v>
      </c>
      <c r="E3" s="31">
        <v>1</v>
      </c>
      <c r="F3" s="54">
        <v>36357.01</v>
      </c>
      <c r="G3" s="67">
        <f>E3*F3</f>
        <v>36357.01</v>
      </c>
    </row>
    <row r="4" spans="2:7" x14ac:dyDescent="0.2">
      <c r="B4" s="32" t="s">
        <v>109</v>
      </c>
      <c r="C4" s="1" t="s">
        <v>110</v>
      </c>
      <c r="D4" s="1" t="s">
        <v>105</v>
      </c>
      <c r="E4" s="1">
        <v>2</v>
      </c>
      <c r="F4" s="54">
        <v>2717</v>
      </c>
      <c r="G4" s="68">
        <f t="shared" ref="G4:G64" si="0">E4*F4</f>
        <v>5434</v>
      </c>
    </row>
    <row r="5" spans="2:7" ht="30" x14ac:dyDescent="0.2">
      <c r="B5" s="32" t="s">
        <v>111</v>
      </c>
      <c r="C5" s="1" t="s">
        <v>112</v>
      </c>
      <c r="D5" s="1" t="s">
        <v>105</v>
      </c>
      <c r="E5" s="1">
        <v>2</v>
      </c>
      <c r="F5" s="54">
        <v>5006.04</v>
      </c>
      <c r="G5" s="68">
        <f t="shared" si="0"/>
        <v>10012.08</v>
      </c>
    </row>
    <row r="6" spans="2:7" x14ac:dyDescent="0.2">
      <c r="B6" s="32" t="s">
        <v>113</v>
      </c>
      <c r="C6" s="1" t="s">
        <v>114</v>
      </c>
      <c r="D6" s="1" t="s">
        <v>105</v>
      </c>
      <c r="E6" s="1">
        <v>1</v>
      </c>
      <c r="F6" s="54">
        <v>7224.36</v>
      </c>
      <c r="G6" s="68">
        <f t="shared" si="0"/>
        <v>7224.36</v>
      </c>
    </row>
    <row r="7" spans="2:7" ht="45" x14ac:dyDescent="0.2">
      <c r="B7" s="32" t="s">
        <v>115</v>
      </c>
      <c r="C7" s="1" t="s">
        <v>116</v>
      </c>
      <c r="D7" s="1" t="s">
        <v>105</v>
      </c>
      <c r="E7" s="1">
        <v>2</v>
      </c>
      <c r="F7" s="54">
        <v>28173.599999999999</v>
      </c>
      <c r="G7" s="68">
        <f t="shared" si="0"/>
        <v>56347.199999999997</v>
      </c>
    </row>
    <row r="8" spans="2:7" x14ac:dyDescent="0.2">
      <c r="B8" s="32" t="s">
        <v>109</v>
      </c>
      <c r="C8" s="1" t="s">
        <v>110</v>
      </c>
      <c r="D8" s="1" t="s">
        <v>105</v>
      </c>
      <c r="E8" s="1">
        <v>4</v>
      </c>
      <c r="F8" s="54">
        <v>2717</v>
      </c>
      <c r="G8" s="68">
        <f t="shared" si="0"/>
        <v>10868</v>
      </c>
    </row>
    <row r="9" spans="2:7" x14ac:dyDescent="0.2">
      <c r="B9" s="32" t="s">
        <v>117</v>
      </c>
      <c r="C9" s="1" t="s">
        <v>118</v>
      </c>
      <c r="D9" s="1" t="s">
        <v>105</v>
      </c>
      <c r="E9" s="1">
        <v>3</v>
      </c>
      <c r="F9" s="54">
        <v>3446.04</v>
      </c>
      <c r="G9" s="68">
        <f t="shared" si="0"/>
        <v>10338.119999999999</v>
      </c>
    </row>
    <row r="10" spans="2:7" x14ac:dyDescent="0.2">
      <c r="B10" s="32" t="s">
        <v>119</v>
      </c>
      <c r="C10" s="1" t="s">
        <v>120</v>
      </c>
      <c r="D10" s="1" t="s">
        <v>105</v>
      </c>
      <c r="E10" s="1">
        <v>2</v>
      </c>
      <c r="F10" s="54">
        <v>4564.5600000000004</v>
      </c>
      <c r="G10" s="68">
        <f t="shared" si="0"/>
        <v>9129.1200000000008</v>
      </c>
    </row>
    <row r="11" spans="2:7" x14ac:dyDescent="0.2">
      <c r="B11" s="32" t="s">
        <v>121</v>
      </c>
      <c r="C11" s="1" t="s">
        <v>122</v>
      </c>
      <c r="D11" s="1" t="s">
        <v>105</v>
      </c>
      <c r="E11" s="1">
        <v>2</v>
      </c>
      <c r="F11" s="54">
        <v>12372.36</v>
      </c>
      <c r="G11" s="68">
        <f t="shared" si="0"/>
        <v>24744.720000000001</v>
      </c>
    </row>
    <row r="12" spans="2:7" x14ac:dyDescent="0.2">
      <c r="B12" s="32" t="s">
        <v>109</v>
      </c>
      <c r="C12" s="1" t="s">
        <v>110</v>
      </c>
      <c r="D12" s="1" t="s">
        <v>105</v>
      </c>
      <c r="E12" s="1">
        <v>2</v>
      </c>
      <c r="F12" s="54">
        <v>2717</v>
      </c>
      <c r="G12" s="68">
        <f t="shared" si="0"/>
        <v>5434</v>
      </c>
    </row>
    <row r="13" spans="2:7" x14ac:dyDescent="0.2">
      <c r="B13" s="32" t="s">
        <v>123</v>
      </c>
      <c r="C13" s="1" t="s">
        <v>124</v>
      </c>
      <c r="D13" s="1" t="s">
        <v>105</v>
      </c>
      <c r="E13" s="1">
        <v>122</v>
      </c>
      <c r="F13" s="54">
        <v>1363.44</v>
      </c>
      <c r="G13" s="68">
        <f t="shared" si="0"/>
        <v>166339.68</v>
      </c>
    </row>
    <row r="14" spans="2:7" ht="30" x14ac:dyDescent="0.2">
      <c r="B14" s="32" t="s">
        <v>125</v>
      </c>
      <c r="C14" s="1" t="s">
        <v>126</v>
      </c>
      <c r="D14" s="1" t="s">
        <v>105</v>
      </c>
      <c r="E14" s="1">
        <v>109</v>
      </c>
      <c r="F14" s="54">
        <v>319.8</v>
      </c>
      <c r="G14" s="68">
        <f t="shared" si="0"/>
        <v>34858.200000000004</v>
      </c>
    </row>
    <row r="15" spans="2:7" x14ac:dyDescent="0.2">
      <c r="B15" s="32" t="s">
        <v>127</v>
      </c>
      <c r="C15" s="1"/>
      <c r="D15" s="1" t="s">
        <v>54</v>
      </c>
      <c r="E15" s="1">
        <v>109</v>
      </c>
      <c r="F15" s="54">
        <v>34.86</v>
      </c>
      <c r="G15" s="68">
        <f t="shared" si="0"/>
        <v>3799.74</v>
      </c>
    </row>
    <row r="16" spans="2:7" x14ac:dyDescent="0.2">
      <c r="B16" s="32" t="s">
        <v>128</v>
      </c>
      <c r="C16" s="1" t="s">
        <v>129</v>
      </c>
      <c r="D16" s="1" t="s">
        <v>105</v>
      </c>
      <c r="E16" s="1">
        <v>37</v>
      </c>
      <c r="F16" s="54">
        <v>960.96</v>
      </c>
      <c r="G16" s="68">
        <f t="shared" si="0"/>
        <v>35555.520000000004</v>
      </c>
    </row>
    <row r="17" spans="2:7" ht="30" x14ac:dyDescent="0.2">
      <c r="B17" s="32" t="s">
        <v>130</v>
      </c>
      <c r="C17" s="1" t="s">
        <v>131</v>
      </c>
      <c r="D17" s="1" t="s">
        <v>105</v>
      </c>
      <c r="E17" s="1">
        <v>2</v>
      </c>
      <c r="F17" s="54">
        <v>1254.24</v>
      </c>
      <c r="G17" s="68">
        <f t="shared" si="0"/>
        <v>2508.48</v>
      </c>
    </row>
    <row r="18" spans="2:7" x14ac:dyDescent="0.2">
      <c r="B18" s="32" t="s">
        <v>132</v>
      </c>
      <c r="C18" s="5" t="s">
        <v>133</v>
      </c>
      <c r="D18" s="5" t="s">
        <v>105</v>
      </c>
      <c r="E18" s="5">
        <v>71</v>
      </c>
      <c r="F18" s="56">
        <v>641.16</v>
      </c>
      <c r="G18" s="69">
        <f t="shared" si="0"/>
        <v>45522.36</v>
      </c>
    </row>
    <row r="19" spans="2:7" x14ac:dyDescent="0.2">
      <c r="B19" s="33" t="s">
        <v>134</v>
      </c>
      <c r="C19" s="8"/>
      <c r="D19" s="7"/>
      <c r="E19" s="7"/>
      <c r="F19" s="58"/>
      <c r="G19" s="70"/>
    </row>
    <row r="20" spans="2:7" ht="30" x14ac:dyDescent="0.2">
      <c r="B20" s="32" t="s">
        <v>135</v>
      </c>
      <c r="C20" s="6" t="s">
        <v>136</v>
      </c>
      <c r="D20" s="6" t="s">
        <v>105</v>
      </c>
      <c r="E20" s="6">
        <v>1</v>
      </c>
      <c r="F20" s="60">
        <v>130000</v>
      </c>
      <c r="G20" s="71">
        <f t="shared" si="0"/>
        <v>130000</v>
      </c>
    </row>
    <row r="21" spans="2:7" x14ac:dyDescent="0.2">
      <c r="B21" s="32" t="s">
        <v>137</v>
      </c>
      <c r="C21" s="1"/>
      <c r="D21" s="1" t="s">
        <v>105</v>
      </c>
      <c r="E21" s="1">
        <v>1</v>
      </c>
      <c r="F21" s="54">
        <v>7900</v>
      </c>
      <c r="G21" s="68">
        <f t="shared" si="0"/>
        <v>7900</v>
      </c>
    </row>
    <row r="22" spans="2:7" x14ac:dyDescent="0.2">
      <c r="B22" s="32" t="s">
        <v>138</v>
      </c>
      <c r="C22" s="1"/>
      <c r="D22" s="1" t="s">
        <v>105</v>
      </c>
      <c r="E22" s="1">
        <v>1</v>
      </c>
      <c r="F22" s="54">
        <v>8600</v>
      </c>
      <c r="G22" s="68">
        <f t="shared" si="0"/>
        <v>8600</v>
      </c>
    </row>
    <row r="23" spans="2:7" x14ac:dyDescent="0.2">
      <c r="B23" s="32" t="s">
        <v>139</v>
      </c>
      <c r="C23" s="1"/>
      <c r="D23" s="1" t="s">
        <v>105</v>
      </c>
      <c r="E23" s="1">
        <v>1</v>
      </c>
      <c r="F23" s="54">
        <v>2000</v>
      </c>
      <c r="G23" s="68">
        <f t="shared" si="0"/>
        <v>2000</v>
      </c>
    </row>
    <row r="24" spans="2:7" x14ac:dyDescent="0.2">
      <c r="B24" s="32" t="s">
        <v>140</v>
      </c>
      <c r="C24" s="1" t="s">
        <v>141</v>
      </c>
      <c r="D24" s="1" t="s">
        <v>54</v>
      </c>
      <c r="E24" s="1">
        <v>50</v>
      </c>
      <c r="F24" s="54">
        <v>114.89</v>
      </c>
      <c r="G24" s="68">
        <f t="shared" si="0"/>
        <v>5744.5</v>
      </c>
    </row>
    <row r="25" spans="2:7" ht="75" x14ac:dyDescent="0.2">
      <c r="B25" s="32" t="s">
        <v>142</v>
      </c>
      <c r="C25" s="1" t="s">
        <v>143</v>
      </c>
      <c r="D25" s="1" t="s">
        <v>54</v>
      </c>
      <c r="E25" s="1">
        <v>5</v>
      </c>
      <c r="F25" s="54">
        <v>41754.92</v>
      </c>
      <c r="G25" s="68">
        <f t="shared" si="0"/>
        <v>208774.59999999998</v>
      </c>
    </row>
    <row r="26" spans="2:7" ht="30" x14ac:dyDescent="0.2">
      <c r="B26" s="32" t="s">
        <v>144</v>
      </c>
      <c r="C26" s="1" t="s">
        <v>145</v>
      </c>
      <c r="D26" s="1" t="s">
        <v>105</v>
      </c>
      <c r="E26" s="1">
        <v>1</v>
      </c>
      <c r="F26" s="54">
        <v>165165</v>
      </c>
      <c r="G26" s="68">
        <f t="shared" si="0"/>
        <v>165165</v>
      </c>
    </row>
    <row r="27" spans="2:7" ht="30" x14ac:dyDescent="0.2">
      <c r="B27" s="32" t="s">
        <v>146</v>
      </c>
      <c r="C27" s="1" t="s">
        <v>147</v>
      </c>
      <c r="D27" s="1" t="s">
        <v>105</v>
      </c>
      <c r="E27" s="1">
        <v>1</v>
      </c>
      <c r="F27" s="54">
        <v>5191</v>
      </c>
      <c r="G27" s="68">
        <f t="shared" si="0"/>
        <v>5191</v>
      </c>
    </row>
    <row r="28" spans="2:7" x14ac:dyDescent="0.2">
      <c r="B28" s="32" t="s">
        <v>148</v>
      </c>
      <c r="C28" s="1" t="s">
        <v>149</v>
      </c>
      <c r="D28" s="1" t="s">
        <v>105</v>
      </c>
      <c r="E28" s="1">
        <v>1</v>
      </c>
      <c r="F28" s="54">
        <v>6292</v>
      </c>
      <c r="G28" s="68">
        <f t="shared" si="0"/>
        <v>6292</v>
      </c>
    </row>
    <row r="29" spans="2:7" x14ac:dyDescent="0.2">
      <c r="B29" s="32" t="s">
        <v>150</v>
      </c>
      <c r="C29" s="1" t="s">
        <v>151</v>
      </c>
      <c r="D29" s="1" t="s">
        <v>105</v>
      </c>
      <c r="E29" s="1">
        <v>2</v>
      </c>
      <c r="F29" s="54">
        <v>10353</v>
      </c>
      <c r="G29" s="68">
        <f t="shared" si="0"/>
        <v>20706</v>
      </c>
    </row>
    <row r="30" spans="2:7" x14ac:dyDescent="0.2">
      <c r="B30" s="32" t="s">
        <v>152</v>
      </c>
      <c r="C30" s="1" t="s">
        <v>153</v>
      </c>
      <c r="D30" s="1" t="s">
        <v>105</v>
      </c>
      <c r="E30" s="1">
        <v>35</v>
      </c>
      <c r="F30" s="54">
        <v>3175</v>
      </c>
      <c r="G30" s="68">
        <f t="shared" si="0"/>
        <v>111125</v>
      </c>
    </row>
    <row r="31" spans="2:7" x14ac:dyDescent="0.2">
      <c r="B31" s="32" t="s">
        <v>154</v>
      </c>
      <c r="C31" s="1" t="s">
        <v>155</v>
      </c>
      <c r="D31" s="1" t="s">
        <v>105</v>
      </c>
      <c r="E31" s="1">
        <v>61</v>
      </c>
      <c r="F31" s="54">
        <v>473</v>
      </c>
      <c r="G31" s="68">
        <f t="shared" si="0"/>
        <v>28853</v>
      </c>
    </row>
    <row r="32" spans="2:7" x14ac:dyDescent="0.2">
      <c r="B32" s="32" t="s">
        <v>156</v>
      </c>
      <c r="C32" s="1" t="s">
        <v>157</v>
      </c>
      <c r="D32" s="1" t="s">
        <v>105</v>
      </c>
      <c r="E32" s="1">
        <v>1</v>
      </c>
      <c r="F32" s="54">
        <v>683</v>
      </c>
      <c r="G32" s="68">
        <f t="shared" si="0"/>
        <v>683</v>
      </c>
    </row>
    <row r="33" spans="2:7" ht="45" x14ac:dyDescent="0.2">
      <c r="B33" s="32" t="s">
        <v>158</v>
      </c>
      <c r="C33" s="5" t="s">
        <v>159</v>
      </c>
      <c r="D33" s="5" t="s">
        <v>105</v>
      </c>
      <c r="E33" s="5">
        <v>62</v>
      </c>
      <c r="F33" s="56">
        <v>92.04</v>
      </c>
      <c r="G33" s="69">
        <f t="shared" si="0"/>
        <v>5706.4800000000005</v>
      </c>
    </row>
    <row r="34" spans="2:7" ht="42.75" x14ac:dyDescent="0.2">
      <c r="B34" s="33" t="s">
        <v>160</v>
      </c>
      <c r="C34" s="8"/>
      <c r="D34" s="7"/>
      <c r="E34" s="7"/>
      <c r="F34" s="58"/>
      <c r="G34" s="70"/>
    </row>
    <row r="35" spans="2:7" ht="30" x14ac:dyDescent="0.2">
      <c r="B35" s="32" t="s">
        <v>111</v>
      </c>
      <c r="C35" s="6" t="s">
        <v>161</v>
      </c>
      <c r="D35" s="6" t="s">
        <v>105</v>
      </c>
      <c r="E35" s="6">
        <v>1</v>
      </c>
      <c r="F35" s="60">
        <v>5006.04</v>
      </c>
      <c r="G35" s="71">
        <f t="shared" si="0"/>
        <v>5006.04</v>
      </c>
    </row>
    <row r="36" spans="2:7" x14ac:dyDescent="0.2">
      <c r="B36" s="32" t="s">
        <v>117</v>
      </c>
      <c r="C36" s="1" t="s">
        <v>162</v>
      </c>
      <c r="D36" s="1" t="s">
        <v>105</v>
      </c>
      <c r="E36" s="1">
        <v>18</v>
      </c>
      <c r="F36" s="54">
        <v>3572.4</v>
      </c>
      <c r="G36" s="68">
        <f t="shared" si="0"/>
        <v>64303.200000000004</v>
      </c>
    </row>
    <row r="37" spans="2:7" ht="30" x14ac:dyDescent="0.2">
      <c r="B37" s="32" t="s">
        <v>163</v>
      </c>
      <c r="C37" s="1" t="s">
        <v>164</v>
      </c>
      <c r="D37" s="1" t="s">
        <v>105</v>
      </c>
      <c r="E37" s="1">
        <v>21</v>
      </c>
      <c r="F37" s="54">
        <v>1021.8</v>
      </c>
      <c r="G37" s="68">
        <f t="shared" si="0"/>
        <v>21457.8</v>
      </c>
    </row>
    <row r="38" spans="2:7" x14ac:dyDescent="0.2">
      <c r="B38" s="32" t="s">
        <v>165</v>
      </c>
      <c r="C38" s="5" t="s">
        <v>166</v>
      </c>
      <c r="D38" s="5" t="s">
        <v>105</v>
      </c>
      <c r="E38" s="5">
        <v>9</v>
      </c>
      <c r="F38" s="56">
        <v>1893.84</v>
      </c>
      <c r="G38" s="69">
        <f t="shared" si="0"/>
        <v>17044.559999999998</v>
      </c>
    </row>
    <row r="39" spans="2:7" x14ac:dyDescent="0.2">
      <c r="B39" s="33" t="s">
        <v>167</v>
      </c>
      <c r="C39" s="10"/>
      <c r="D39" s="11"/>
      <c r="E39" s="11"/>
      <c r="F39" s="77"/>
      <c r="G39" s="78"/>
    </row>
    <row r="40" spans="2:7" ht="42.75" x14ac:dyDescent="0.2">
      <c r="B40" s="33" t="s">
        <v>168</v>
      </c>
      <c r="C40" s="12"/>
      <c r="D40" s="13"/>
      <c r="E40" s="13"/>
      <c r="F40" s="79"/>
      <c r="G40" s="80"/>
    </row>
    <row r="41" spans="2:7" ht="60" x14ac:dyDescent="0.2">
      <c r="B41" s="32" t="s">
        <v>169</v>
      </c>
      <c r="C41" s="6" t="s">
        <v>243</v>
      </c>
      <c r="D41" s="6" t="s">
        <v>54</v>
      </c>
      <c r="E41" s="6">
        <v>750</v>
      </c>
      <c r="F41" s="60">
        <v>25.61889</v>
      </c>
      <c r="G41" s="71">
        <f t="shared" si="0"/>
        <v>19214.1675</v>
      </c>
    </row>
    <row r="42" spans="2:7" ht="60" x14ac:dyDescent="0.2">
      <c r="B42" s="32" t="s">
        <v>170</v>
      </c>
      <c r="C42" s="1" t="s">
        <v>243</v>
      </c>
      <c r="D42" s="1" t="s">
        <v>54</v>
      </c>
      <c r="E42" s="1">
        <v>280</v>
      </c>
      <c r="F42" s="54">
        <v>30</v>
      </c>
      <c r="G42" s="68">
        <f t="shared" si="0"/>
        <v>8400</v>
      </c>
    </row>
    <row r="43" spans="2:7" ht="60" x14ac:dyDescent="0.2">
      <c r="B43" s="32" t="s">
        <v>171</v>
      </c>
      <c r="C43" s="1" t="s">
        <v>243</v>
      </c>
      <c r="D43" s="1" t="s">
        <v>54</v>
      </c>
      <c r="E43" s="1">
        <v>40</v>
      </c>
      <c r="F43" s="54">
        <v>67.2</v>
      </c>
      <c r="G43" s="68">
        <f t="shared" si="0"/>
        <v>2688</v>
      </c>
    </row>
    <row r="44" spans="2:7" ht="90" x14ac:dyDescent="0.2">
      <c r="B44" s="32" t="s">
        <v>172</v>
      </c>
      <c r="C44" s="1" t="s">
        <v>173</v>
      </c>
      <c r="D44" s="1" t="s">
        <v>54</v>
      </c>
      <c r="E44" s="1">
        <v>25</v>
      </c>
      <c r="F44" s="54">
        <v>325.82776999999999</v>
      </c>
      <c r="G44" s="68">
        <f t="shared" si="0"/>
        <v>8145.6942499999996</v>
      </c>
    </row>
    <row r="45" spans="2:7" x14ac:dyDescent="0.2">
      <c r="B45" s="32" t="s">
        <v>174</v>
      </c>
      <c r="C45" s="1" t="s">
        <v>175</v>
      </c>
      <c r="D45" s="1" t="s">
        <v>54</v>
      </c>
      <c r="E45" s="1">
        <v>1115</v>
      </c>
      <c r="F45" s="54">
        <v>766.19</v>
      </c>
      <c r="G45" s="68">
        <f t="shared" si="0"/>
        <v>854301.85000000009</v>
      </c>
    </row>
    <row r="46" spans="2:7" x14ac:dyDescent="0.2">
      <c r="B46" s="32"/>
      <c r="C46" s="1" t="s">
        <v>176</v>
      </c>
      <c r="D46" s="1" t="s">
        <v>54</v>
      </c>
      <c r="E46" s="1">
        <v>30</v>
      </c>
      <c r="F46" s="54">
        <v>916.5</v>
      </c>
      <c r="G46" s="68">
        <f t="shared" si="0"/>
        <v>27495</v>
      </c>
    </row>
    <row r="47" spans="2:7" x14ac:dyDescent="0.2">
      <c r="B47" s="32" t="s">
        <v>177</v>
      </c>
      <c r="C47" s="1"/>
      <c r="D47" s="1" t="s">
        <v>105</v>
      </c>
      <c r="E47" s="1">
        <v>3435</v>
      </c>
      <c r="F47" s="54">
        <v>6.18</v>
      </c>
      <c r="G47" s="68">
        <f t="shared" si="0"/>
        <v>21228.3</v>
      </c>
    </row>
    <row r="48" spans="2:7" x14ac:dyDescent="0.2">
      <c r="B48" s="32" t="s">
        <v>178</v>
      </c>
      <c r="C48" s="5"/>
      <c r="D48" s="5" t="s">
        <v>105</v>
      </c>
      <c r="E48" s="5">
        <v>3435</v>
      </c>
      <c r="F48" s="56">
        <v>2</v>
      </c>
      <c r="G48" s="69">
        <f t="shared" si="0"/>
        <v>6870</v>
      </c>
    </row>
    <row r="49" spans="2:7" ht="42.75" x14ac:dyDescent="0.2">
      <c r="B49" s="33" t="s">
        <v>179</v>
      </c>
      <c r="C49" s="8"/>
      <c r="D49" s="7"/>
      <c r="E49" s="7"/>
      <c r="F49" s="58"/>
      <c r="G49" s="70"/>
    </row>
    <row r="50" spans="2:7" ht="60" x14ac:dyDescent="0.2">
      <c r="B50" s="32" t="s">
        <v>169</v>
      </c>
      <c r="C50" s="6" t="s">
        <v>180</v>
      </c>
      <c r="D50" s="6" t="s">
        <v>54</v>
      </c>
      <c r="E50" s="6">
        <v>1310</v>
      </c>
      <c r="F50" s="60">
        <v>31</v>
      </c>
      <c r="G50" s="71">
        <f t="shared" si="0"/>
        <v>40610</v>
      </c>
    </row>
    <row r="51" spans="2:7" x14ac:dyDescent="0.2">
      <c r="B51" s="32" t="s">
        <v>181</v>
      </c>
      <c r="C51" s="1" t="s">
        <v>180</v>
      </c>
      <c r="D51" s="1" t="s">
        <v>54</v>
      </c>
      <c r="E51" s="1">
        <v>930</v>
      </c>
      <c r="F51" s="54">
        <v>40.4</v>
      </c>
      <c r="G51" s="68">
        <f t="shared" si="0"/>
        <v>37572</v>
      </c>
    </row>
    <row r="52" spans="2:7" ht="90" x14ac:dyDescent="0.2">
      <c r="B52" s="32" t="s">
        <v>172</v>
      </c>
      <c r="C52" s="1" t="s">
        <v>173</v>
      </c>
      <c r="D52" s="1" t="s">
        <v>54</v>
      </c>
      <c r="E52" s="1">
        <v>65</v>
      </c>
      <c r="F52" s="54">
        <v>325.82776999999999</v>
      </c>
      <c r="G52" s="68">
        <f t="shared" si="0"/>
        <v>21178.805049999999</v>
      </c>
    </row>
    <row r="53" spans="2:7" x14ac:dyDescent="0.2">
      <c r="B53" s="32" t="s">
        <v>182</v>
      </c>
      <c r="C53" s="1" t="s">
        <v>183</v>
      </c>
      <c r="D53" s="1" t="s">
        <v>54</v>
      </c>
      <c r="E53" s="1">
        <v>2305</v>
      </c>
      <c r="F53" s="54">
        <v>109</v>
      </c>
      <c r="G53" s="68">
        <f t="shared" si="0"/>
        <v>251245</v>
      </c>
    </row>
    <row r="54" spans="2:7" x14ac:dyDescent="0.2">
      <c r="B54" s="32" t="s">
        <v>184</v>
      </c>
      <c r="C54" s="1"/>
      <c r="D54" s="1" t="s">
        <v>105</v>
      </c>
      <c r="E54" s="1">
        <v>6915</v>
      </c>
      <c r="F54" s="54">
        <v>2.2599999999999998</v>
      </c>
      <c r="G54" s="68">
        <f t="shared" si="0"/>
        <v>15627.899999999998</v>
      </c>
    </row>
    <row r="55" spans="2:7" x14ac:dyDescent="0.2">
      <c r="B55" s="32" t="s">
        <v>177</v>
      </c>
      <c r="C55" s="1"/>
      <c r="D55" s="1" t="s">
        <v>105</v>
      </c>
      <c r="E55" s="1">
        <v>6915</v>
      </c>
      <c r="F55" s="54">
        <v>6.18</v>
      </c>
      <c r="G55" s="68">
        <f t="shared" si="0"/>
        <v>42734.7</v>
      </c>
    </row>
    <row r="56" spans="2:7" x14ac:dyDescent="0.2">
      <c r="B56" s="32" t="s">
        <v>178</v>
      </c>
      <c r="C56" s="1"/>
      <c r="D56" s="1" t="s">
        <v>105</v>
      </c>
      <c r="E56" s="1">
        <v>6915</v>
      </c>
      <c r="F56" s="54">
        <v>2</v>
      </c>
      <c r="G56" s="68">
        <f t="shared" si="0"/>
        <v>13830</v>
      </c>
    </row>
    <row r="57" spans="2:7" x14ac:dyDescent="0.2">
      <c r="B57" s="32" t="s">
        <v>185</v>
      </c>
      <c r="C57" s="1" t="s">
        <v>186</v>
      </c>
      <c r="D57" s="1" t="s">
        <v>105</v>
      </c>
      <c r="E57" s="1">
        <v>50</v>
      </c>
      <c r="F57" s="54">
        <v>720</v>
      </c>
      <c r="G57" s="68">
        <f t="shared" si="0"/>
        <v>36000</v>
      </c>
    </row>
    <row r="58" spans="2:7" ht="60" x14ac:dyDescent="0.2">
      <c r="B58" s="32" t="s">
        <v>169</v>
      </c>
      <c r="C58" s="1" t="s">
        <v>180</v>
      </c>
      <c r="D58" s="1" t="s">
        <v>54</v>
      </c>
      <c r="E58" s="1">
        <v>100</v>
      </c>
      <c r="F58" s="54">
        <v>31</v>
      </c>
      <c r="G58" s="68">
        <f t="shared" si="0"/>
        <v>3100</v>
      </c>
    </row>
    <row r="59" spans="2:7" x14ac:dyDescent="0.2">
      <c r="B59" s="32" t="s">
        <v>181</v>
      </c>
      <c r="C59" s="1" t="s">
        <v>180</v>
      </c>
      <c r="D59" s="1" t="s">
        <v>54</v>
      </c>
      <c r="E59" s="1">
        <v>50</v>
      </c>
      <c r="F59" s="54">
        <v>40.4</v>
      </c>
      <c r="G59" s="68">
        <f t="shared" si="0"/>
        <v>2020</v>
      </c>
    </row>
    <row r="60" spans="2:7" ht="90" x14ac:dyDescent="0.2">
      <c r="B60" s="32" t="s">
        <v>172</v>
      </c>
      <c r="C60" s="1" t="s">
        <v>173</v>
      </c>
      <c r="D60" s="1" t="s">
        <v>54</v>
      </c>
      <c r="E60" s="1">
        <v>10</v>
      </c>
      <c r="F60" s="54">
        <v>325.82776999999999</v>
      </c>
      <c r="G60" s="68">
        <f t="shared" si="0"/>
        <v>3258.2776999999996</v>
      </c>
    </row>
    <row r="61" spans="2:7" x14ac:dyDescent="0.2">
      <c r="B61" s="32" t="s">
        <v>187</v>
      </c>
      <c r="C61" s="1"/>
      <c r="D61" s="1" t="s">
        <v>54</v>
      </c>
      <c r="E61" s="1">
        <v>10</v>
      </c>
      <c r="F61" s="54">
        <v>210</v>
      </c>
      <c r="G61" s="68">
        <f t="shared" si="0"/>
        <v>2100</v>
      </c>
    </row>
    <row r="62" spans="2:7" x14ac:dyDescent="0.2">
      <c r="B62" s="32" t="s">
        <v>188</v>
      </c>
      <c r="C62" s="1"/>
      <c r="D62" s="1" t="s">
        <v>54</v>
      </c>
      <c r="E62" s="1">
        <v>60</v>
      </c>
      <c r="F62" s="54">
        <v>355</v>
      </c>
      <c r="G62" s="68">
        <f t="shared" si="0"/>
        <v>21300</v>
      </c>
    </row>
    <row r="63" spans="2:7" x14ac:dyDescent="0.2">
      <c r="B63" s="32" t="s">
        <v>184</v>
      </c>
      <c r="C63" s="1"/>
      <c r="D63" s="1" t="s">
        <v>105</v>
      </c>
      <c r="E63" s="1">
        <v>30</v>
      </c>
      <c r="F63" s="54">
        <v>2.2599999999999998</v>
      </c>
      <c r="G63" s="68">
        <f t="shared" si="0"/>
        <v>67.8</v>
      </c>
    </row>
    <row r="64" spans="2:7" ht="15.75" thickBot="1" x14ac:dyDescent="0.25">
      <c r="B64" s="35" t="s">
        <v>189</v>
      </c>
      <c r="C64" s="46"/>
      <c r="D64" s="46" t="s">
        <v>105</v>
      </c>
      <c r="E64" s="46">
        <v>180</v>
      </c>
      <c r="F64" s="62">
        <v>7.5</v>
      </c>
      <c r="G64" s="74">
        <f t="shared" si="0"/>
        <v>1350</v>
      </c>
    </row>
    <row r="65" spans="6:7" x14ac:dyDescent="0.2">
      <c r="F65" s="64"/>
      <c r="G65" s="75"/>
    </row>
    <row r="66" spans="6:7" x14ac:dyDescent="0.2">
      <c r="F66" s="64"/>
      <c r="G66" s="75"/>
    </row>
    <row r="67" spans="6:7" x14ac:dyDescent="0.2">
      <c r="F67" s="64"/>
      <c r="G67" s="75"/>
    </row>
    <row r="68" spans="6:7" x14ac:dyDescent="0.2">
      <c r="F68" s="64"/>
      <c r="G68" s="75"/>
    </row>
    <row r="69" spans="6:7" ht="15.75" thickBot="1" x14ac:dyDescent="0.25">
      <c r="F69" s="64"/>
      <c r="G69" s="75"/>
    </row>
    <row r="70" spans="6:7" ht="15.75" thickBot="1" x14ac:dyDescent="0.25">
      <c r="F70" s="64"/>
      <c r="G70" s="76">
        <f>SUM(G3:G64)</f>
        <v>2719362.2645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80"/>
  <sheetViews>
    <sheetView topLeftCell="A54" zoomScaleNormal="100" workbookViewId="0">
      <selection activeCell="B1" sqref="B1:G75"/>
    </sheetView>
  </sheetViews>
  <sheetFormatPr defaultRowHeight="15" x14ac:dyDescent="0.2"/>
  <cols>
    <col min="1" max="1" width="13.33203125" style="15" customWidth="1"/>
    <col min="2" max="2" width="53.5" style="15" customWidth="1"/>
    <col min="3" max="3" width="25.1640625" style="15" customWidth="1"/>
    <col min="4" max="4" width="7.6640625" style="15" customWidth="1"/>
    <col min="5" max="5" width="13.6640625" style="16" customWidth="1"/>
    <col min="6" max="6" width="17.6640625" style="15" customWidth="1"/>
    <col min="7" max="7" width="16.5" style="15" customWidth="1"/>
    <col min="8" max="8" width="12.5" style="15" customWidth="1"/>
    <col min="9" max="16384" width="9.33203125" style="15"/>
  </cols>
  <sheetData>
    <row r="1" spans="2:7" ht="19.5" customHeight="1" thickBot="1" x14ac:dyDescent="0.25">
      <c r="B1" s="38" t="s">
        <v>514</v>
      </c>
      <c r="C1" s="39"/>
      <c r="D1" s="40"/>
      <c r="E1" s="40"/>
      <c r="F1" s="41"/>
      <c r="G1" s="40"/>
    </row>
    <row r="2" spans="2:7" ht="31.5" customHeight="1" x14ac:dyDescent="0.2">
      <c r="B2" s="30" t="s">
        <v>4</v>
      </c>
      <c r="C2" s="6" t="s">
        <v>5</v>
      </c>
      <c r="D2" s="6" t="s">
        <v>6</v>
      </c>
      <c r="E2" s="6">
        <v>1</v>
      </c>
      <c r="F2" s="60">
        <v>20619.71</v>
      </c>
      <c r="G2" s="71">
        <f>E2*F2</f>
        <v>20619.71</v>
      </c>
    </row>
    <row r="3" spans="2:7" ht="31.5" customHeight="1" x14ac:dyDescent="0.2">
      <c r="B3" s="32" t="s">
        <v>2</v>
      </c>
      <c r="C3" s="1" t="s">
        <v>7</v>
      </c>
      <c r="D3" s="1" t="s">
        <v>6</v>
      </c>
      <c r="E3" s="1">
        <v>1</v>
      </c>
      <c r="F3" s="54">
        <v>811.27</v>
      </c>
      <c r="G3" s="68">
        <f t="shared" ref="G3:G44" si="0">E3*F3</f>
        <v>811.27</v>
      </c>
    </row>
    <row r="4" spans="2:7" ht="31.5" customHeight="1" x14ac:dyDescent="0.2">
      <c r="B4" s="32" t="s">
        <v>3</v>
      </c>
      <c r="C4" s="1" t="s">
        <v>8</v>
      </c>
      <c r="D4" s="1" t="s">
        <v>6</v>
      </c>
      <c r="E4" s="1">
        <v>2</v>
      </c>
      <c r="F4" s="54">
        <v>338.39</v>
      </c>
      <c r="G4" s="68">
        <f t="shared" si="0"/>
        <v>676.78</v>
      </c>
    </row>
    <row r="5" spans="2:7" ht="45" customHeight="1" x14ac:dyDescent="0.2">
      <c r="B5" s="32" t="s">
        <v>9</v>
      </c>
      <c r="C5" s="1" t="s">
        <v>10</v>
      </c>
      <c r="D5" s="1" t="s">
        <v>6</v>
      </c>
      <c r="E5" s="1">
        <v>1</v>
      </c>
      <c r="F5" s="54">
        <v>1893</v>
      </c>
      <c r="G5" s="68">
        <f t="shared" si="0"/>
        <v>1893</v>
      </c>
    </row>
    <row r="6" spans="2:7" ht="33" customHeight="1" x14ac:dyDescent="0.2">
      <c r="B6" s="32" t="s">
        <v>11</v>
      </c>
      <c r="C6" s="1" t="s">
        <v>12</v>
      </c>
      <c r="D6" s="1" t="s">
        <v>6</v>
      </c>
      <c r="E6" s="1">
        <v>4</v>
      </c>
      <c r="F6" s="54">
        <v>640</v>
      </c>
      <c r="G6" s="68">
        <f t="shared" si="0"/>
        <v>2560</v>
      </c>
    </row>
    <row r="7" spans="2:7" ht="21" customHeight="1" x14ac:dyDescent="0.2">
      <c r="B7" s="32" t="s">
        <v>13</v>
      </c>
      <c r="C7" s="1" t="s">
        <v>14</v>
      </c>
      <c r="D7" s="1" t="s">
        <v>6</v>
      </c>
      <c r="E7" s="1">
        <v>4</v>
      </c>
      <c r="F7" s="54">
        <v>300</v>
      </c>
      <c r="G7" s="68">
        <f t="shared" si="0"/>
        <v>1200</v>
      </c>
    </row>
    <row r="8" spans="2:7" ht="23.1" customHeight="1" x14ac:dyDescent="0.2">
      <c r="B8" s="32" t="s">
        <v>15</v>
      </c>
      <c r="C8" s="1" t="s">
        <v>16</v>
      </c>
      <c r="D8" s="1" t="s">
        <v>6</v>
      </c>
      <c r="E8" s="1">
        <v>3</v>
      </c>
      <c r="F8" s="54">
        <v>399.25</v>
      </c>
      <c r="G8" s="68">
        <f t="shared" si="0"/>
        <v>1197.75</v>
      </c>
    </row>
    <row r="9" spans="2:7" ht="28.5" customHeight="1" x14ac:dyDescent="0.2">
      <c r="B9" s="32" t="s">
        <v>17</v>
      </c>
      <c r="C9" s="1" t="s">
        <v>18</v>
      </c>
      <c r="D9" s="1" t="s">
        <v>6</v>
      </c>
      <c r="E9" s="1">
        <v>1</v>
      </c>
      <c r="F9" s="54">
        <v>210</v>
      </c>
      <c r="G9" s="68">
        <f t="shared" si="0"/>
        <v>210</v>
      </c>
    </row>
    <row r="10" spans="2:7" ht="33" customHeight="1" x14ac:dyDescent="0.2">
      <c r="B10" s="32" t="s">
        <v>19</v>
      </c>
      <c r="C10" s="1" t="s">
        <v>18</v>
      </c>
      <c r="D10" s="1" t="s">
        <v>6</v>
      </c>
      <c r="E10" s="1">
        <v>6</v>
      </c>
      <c r="F10" s="54">
        <v>210</v>
      </c>
      <c r="G10" s="68">
        <f t="shared" si="0"/>
        <v>1260</v>
      </c>
    </row>
    <row r="11" spans="2:7" ht="21.95" customHeight="1" x14ac:dyDescent="0.2">
      <c r="B11" s="32" t="s">
        <v>20</v>
      </c>
      <c r="C11" s="1" t="s">
        <v>21</v>
      </c>
      <c r="D11" s="1" t="s">
        <v>6</v>
      </c>
      <c r="E11" s="1">
        <v>6</v>
      </c>
      <c r="F11" s="54">
        <v>299</v>
      </c>
      <c r="G11" s="68">
        <f t="shared" si="0"/>
        <v>1794</v>
      </c>
    </row>
    <row r="12" spans="2:7" ht="23.1" customHeight="1" x14ac:dyDescent="0.2">
      <c r="B12" s="32" t="s">
        <v>22</v>
      </c>
      <c r="C12" s="1" t="s">
        <v>23</v>
      </c>
      <c r="D12" s="1" t="s">
        <v>6</v>
      </c>
      <c r="E12" s="1">
        <v>50</v>
      </c>
      <c r="F12" s="54">
        <v>40.32</v>
      </c>
      <c r="G12" s="68">
        <f t="shared" si="0"/>
        <v>2016</v>
      </c>
    </row>
    <row r="13" spans="2:7" ht="21.95" customHeight="1" x14ac:dyDescent="0.2">
      <c r="B13" s="32" t="s">
        <v>24</v>
      </c>
      <c r="C13" s="1" t="s">
        <v>25</v>
      </c>
      <c r="D13" s="1" t="s">
        <v>6</v>
      </c>
      <c r="E13" s="1">
        <v>10</v>
      </c>
      <c r="F13" s="54">
        <v>14.38</v>
      </c>
      <c r="G13" s="68">
        <f t="shared" si="0"/>
        <v>143.80000000000001</v>
      </c>
    </row>
    <row r="14" spans="2:7" x14ac:dyDescent="0.2">
      <c r="B14" s="32" t="s">
        <v>30</v>
      </c>
      <c r="C14" s="1" t="s">
        <v>31</v>
      </c>
      <c r="D14" s="1" t="s">
        <v>6</v>
      </c>
      <c r="E14" s="1">
        <v>1</v>
      </c>
      <c r="F14" s="54">
        <v>7332.54</v>
      </c>
      <c r="G14" s="68">
        <f t="shared" si="0"/>
        <v>7332.54</v>
      </c>
    </row>
    <row r="15" spans="2:7" x14ac:dyDescent="0.2">
      <c r="B15" s="32" t="s">
        <v>32</v>
      </c>
      <c r="C15" s="1"/>
      <c r="D15" s="1" t="s">
        <v>6</v>
      </c>
      <c r="E15" s="1">
        <v>4</v>
      </c>
      <c r="F15" s="54">
        <v>610</v>
      </c>
      <c r="G15" s="68">
        <f t="shared" si="0"/>
        <v>2440</v>
      </c>
    </row>
    <row r="16" spans="2:7" x14ac:dyDescent="0.2">
      <c r="B16" s="32" t="s">
        <v>33</v>
      </c>
      <c r="C16" s="1" t="s">
        <v>34</v>
      </c>
      <c r="D16" s="1" t="s">
        <v>6</v>
      </c>
      <c r="E16" s="1">
        <v>1</v>
      </c>
      <c r="F16" s="54">
        <v>150</v>
      </c>
      <c r="G16" s="68">
        <f t="shared" si="0"/>
        <v>150</v>
      </c>
    </row>
    <row r="17" spans="2:7" x14ac:dyDescent="0.2">
      <c r="B17" s="32" t="s">
        <v>35</v>
      </c>
      <c r="C17" s="1" t="s">
        <v>36</v>
      </c>
      <c r="D17" s="1" t="s">
        <v>6</v>
      </c>
      <c r="E17" s="1">
        <v>1</v>
      </c>
      <c r="F17" s="54">
        <v>13600</v>
      </c>
      <c r="G17" s="68">
        <f t="shared" si="0"/>
        <v>13600</v>
      </c>
    </row>
    <row r="18" spans="2:7" ht="45" x14ac:dyDescent="0.2">
      <c r="B18" s="32" t="s">
        <v>535</v>
      </c>
      <c r="C18" s="1" t="s">
        <v>540</v>
      </c>
      <c r="D18" s="1" t="s">
        <v>37</v>
      </c>
      <c r="E18" s="1">
        <v>0.04</v>
      </c>
      <c r="F18" s="54">
        <v>22000</v>
      </c>
      <c r="G18" s="68">
        <f t="shared" si="0"/>
        <v>880</v>
      </c>
    </row>
    <row r="19" spans="2:7" ht="30" x14ac:dyDescent="0.2">
      <c r="B19" s="32" t="s">
        <v>0</v>
      </c>
      <c r="C19" s="1" t="s">
        <v>38</v>
      </c>
      <c r="D19" s="1" t="s">
        <v>39</v>
      </c>
      <c r="E19" s="1">
        <v>1</v>
      </c>
      <c r="F19" s="54">
        <v>10005</v>
      </c>
      <c r="G19" s="68">
        <f t="shared" si="0"/>
        <v>10005</v>
      </c>
    </row>
    <row r="20" spans="2:7" x14ac:dyDescent="0.2">
      <c r="B20" s="32" t="s">
        <v>1</v>
      </c>
      <c r="C20" s="1" t="s">
        <v>40</v>
      </c>
      <c r="D20" s="1" t="s">
        <v>6</v>
      </c>
      <c r="E20" s="1">
        <v>1</v>
      </c>
      <c r="F20" s="54">
        <v>2552</v>
      </c>
      <c r="G20" s="68">
        <f t="shared" si="0"/>
        <v>2552</v>
      </c>
    </row>
    <row r="21" spans="2:7" ht="30" x14ac:dyDescent="0.2">
      <c r="B21" s="32" t="s">
        <v>41</v>
      </c>
      <c r="C21" s="1" t="s">
        <v>42</v>
      </c>
      <c r="D21" s="1" t="s">
        <v>39</v>
      </c>
      <c r="E21" s="1">
        <v>1</v>
      </c>
      <c r="F21" s="54">
        <v>6938</v>
      </c>
      <c r="G21" s="68">
        <f t="shared" si="0"/>
        <v>6938</v>
      </c>
    </row>
    <row r="22" spans="2:7" ht="30" x14ac:dyDescent="0.2">
      <c r="B22" s="32"/>
      <c r="C22" s="1" t="s">
        <v>43</v>
      </c>
      <c r="D22" s="1"/>
      <c r="E22" s="1"/>
      <c r="F22" s="54"/>
      <c r="G22" s="68"/>
    </row>
    <row r="23" spans="2:7" x14ac:dyDescent="0.2">
      <c r="B23" s="32"/>
      <c r="C23" s="1"/>
      <c r="D23" s="1" t="s">
        <v>6</v>
      </c>
      <c r="E23" s="1">
        <v>6</v>
      </c>
      <c r="F23" s="54"/>
      <c r="G23" s="68">
        <f t="shared" si="0"/>
        <v>0</v>
      </c>
    </row>
    <row r="24" spans="2:7" x14ac:dyDescent="0.2">
      <c r="B24" s="32" t="s">
        <v>44</v>
      </c>
      <c r="C24" s="1" t="s">
        <v>45</v>
      </c>
      <c r="D24" s="1"/>
      <c r="E24" s="1"/>
      <c r="F24" s="54"/>
      <c r="G24" s="68"/>
    </row>
    <row r="25" spans="2:7" x14ac:dyDescent="0.2">
      <c r="B25" s="32" t="s">
        <v>46</v>
      </c>
      <c r="C25" s="1"/>
      <c r="D25" s="1" t="s">
        <v>6</v>
      </c>
      <c r="E25" s="1">
        <v>1</v>
      </c>
      <c r="F25" s="54">
        <v>54101</v>
      </c>
      <c r="G25" s="68">
        <f t="shared" si="0"/>
        <v>54101</v>
      </c>
    </row>
    <row r="26" spans="2:7" x14ac:dyDescent="0.2">
      <c r="B26" s="32" t="s">
        <v>47</v>
      </c>
      <c r="C26" s="1"/>
      <c r="D26" s="1" t="s">
        <v>6</v>
      </c>
      <c r="E26" s="1">
        <v>5</v>
      </c>
      <c r="F26" s="54">
        <v>8600</v>
      </c>
      <c r="G26" s="68">
        <f t="shared" si="0"/>
        <v>43000</v>
      </c>
    </row>
    <row r="27" spans="2:7" x14ac:dyDescent="0.2">
      <c r="B27" s="32" t="s">
        <v>48</v>
      </c>
      <c r="C27" s="1"/>
      <c r="D27" s="1" t="s">
        <v>49</v>
      </c>
      <c r="E27" s="1" t="s">
        <v>50</v>
      </c>
      <c r="F27" s="54">
        <v>567</v>
      </c>
      <c r="G27" s="68">
        <v>4252.5</v>
      </c>
    </row>
    <row r="28" spans="2:7" x14ac:dyDescent="0.2">
      <c r="B28" s="32" t="s">
        <v>27</v>
      </c>
      <c r="C28" s="5" t="s">
        <v>26</v>
      </c>
      <c r="D28" s="5" t="s">
        <v>6</v>
      </c>
      <c r="E28" s="5">
        <v>2</v>
      </c>
      <c r="F28" s="56">
        <v>4329.1000000000004</v>
      </c>
      <c r="G28" s="69">
        <f t="shared" si="0"/>
        <v>8658.2000000000007</v>
      </c>
    </row>
    <row r="29" spans="2:7" x14ac:dyDescent="0.2">
      <c r="B29" s="33" t="s">
        <v>524</v>
      </c>
      <c r="C29" s="10"/>
      <c r="D29" s="11"/>
      <c r="E29" s="11"/>
      <c r="F29" s="77"/>
      <c r="G29" s="78"/>
    </row>
    <row r="30" spans="2:7" ht="90" x14ac:dyDescent="0.2">
      <c r="B30" s="34" t="s">
        <v>522</v>
      </c>
      <c r="C30" s="12"/>
      <c r="D30" s="13"/>
      <c r="E30" s="13"/>
      <c r="F30" s="79"/>
      <c r="G30" s="80"/>
    </row>
    <row r="31" spans="2:7" x14ac:dyDescent="0.2">
      <c r="B31" s="32" t="s">
        <v>523</v>
      </c>
      <c r="C31" s="6" t="s">
        <v>51</v>
      </c>
      <c r="D31" s="6" t="s">
        <v>37</v>
      </c>
      <c r="E31" s="6">
        <v>0.5</v>
      </c>
      <c r="F31" s="60">
        <v>201801</v>
      </c>
      <c r="G31" s="71">
        <f t="shared" si="0"/>
        <v>100900.5</v>
      </c>
    </row>
    <row r="32" spans="2:7" ht="18" x14ac:dyDescent="0.2">
      <c r="B32" s="32" t="s">
        <v>515</v>
      </c>
      <c r="C32" s="1" t="s">
        <v>51</v>
      </c>
      <c r="D32" s="1" t="s">
        <v>37</v>
      </c>
      <c r="E32" s="1">
        <v>0.05</v>
      </c>
      <c r="F32" s="54">
        <v>201801.49</v>
      </c>
      <c r="G32" s="68">
        <f t="shared" si="0"/>
        <v>10090.074500000001</v>
      </c>
    </row>
    <row r="33" spans="2:7" ht="18" x14ac:dyDescent="0.2">
      <c r="B33" s="32" t="s">
        <v>516</v>
      </c>
      <c r="C33" s="5" t="s">
        <v>51</v>
      </c>
      <c r="D33" s="5" t="s">
        <v>37</v>
      </c>
      <c r="E33" s="5">
        <v>0.15</v>
      </c>
      <c r="F33" s="56">
        <v>318101.67</v>
      </c>
      <c r="G33" s="69">
        <f t="shared" si="0"/>
        <v>47715.250499999995</v>
      </c>
    </row>
    <row r="34" spans="2:7" ht="90" x14ac:dyDescent="0.2">
      <c r="B34" s="34" t="s">
        <v>525</v>
      </c>
      <c r="C34" s="8"/>
      <c r="D34" s="7"/>
      <c r="E34" s="7"/>
      <c r="F34" s="58"/>
      <c r="G34" s="70"/>
    </row>
    <row r="35" spans="2:7" ht="18" x14ac:dyDescent="0.2">
      <c r="B35" s="32" t="s">
        <v>517</v>
      </c>
      <c r="C35" s="6" t="s">
        <v>52</v>
      </c>
      <c r="D35" s="6" t="s">
        <v>37</v>
      </c>
      <c r="E35" s="6">
        <v>0.06</v>
      </c>
      <c r="F35" s="60">
        <v>258880.66</v>
      </c>
      <c r="G35" s="71">
        <f t="shared" si="0"/>
        <v>15532.839599999999</v>
      </c>
    </row>
    <row r="36" spans="2:7" ht="45" x14ac:dyDescent="0.2">
      <c r="B36" s="32" t="s">
        <v>527</v>
      </c>
      <c r="C36" s="1" t="s">
        <v>528</v>
      </c>
      <c r="D36" s="1" t="s">
        <v>37</v>
      </c>
      <c r="E36" s="1">
        <v>0.06</v>
      </c>
      <c r="F36" s="54">
        <v>22000</v>
      </c>
      <c r="G36" s="68">
        <f t="shared" si="0"/>
        <v>1320</v>
      </c>
    </row>
    <row r="37" spans="2:7" ht="60" x14ac:dyDescent="0.2">
      <c r="B37" s="32" t="s">
        <v>526</v>
      </c>
      <c r="C37" s="1" t="s">
        <v>53</v>
      </c>
      <c r="D37" s="1" t="s">
        <v>54</v>
      </c>
      <c r="E37" s="1">
        <v>100</v>
      </c>
      <c r="F37" s="54">
        <v>189.41900000000001</v>
      </c>
      <c r="G37" s="68">
        <f t="shared" si="0"/>
        <v>18941.900000000001</v>
      </c>
    </row>
    <row r="38" spans="2:7" ht="18" x14ac:dyDescent="0.2">
      <c r="B38" s="32" t="s">
        <v>518</v>
      </c>
      <c r="C38" s="5" t="s">
        <v>55</v>
      </c>
      <c r="D38" s="5" t="s">
        <v>54</v>
      </c>
      <c r="E38" s="5">
        <v>8</v>
      </c>
      <c r="F38" s="56">
        <v>236</v>
      </c>
      <c r="G38" s="69">
        <f t="shared" si="0"/>
        <v>1888</v>
      </c>
    </row>
    <row r="39" spans="2:7" x14ac:dyDescent="0.2">
      <c r="B39" s="33" t="s">
        <v>529</v>
      </c>
      <c r="C39" s="8"/>
      <c r="D39" s="7"/>
      <c r="E39" s="7"/>
      <c r="F39" s="58"/>
      <c r="G39" s="70"/>
    </row>
    <row r="40" spans="2:7" ht="45" x14ac:dyDescent="0.2">
      <c r="B40" s="32" t="s">
        <v>530</v>
      </c>
      <c r="C40" s="6" t="s">
        <v>56</v>
      </c>
      <c r="D40" s="6" t="s">
        <v>54</v>
      </c>
      <c r="E40" s="6">
        <v>12</v>
      </c>
      <c r="F40" s="60">
        <v>124</v>
      </c>
      <c r="G40" s="71">
        <f t="shared" si="0"/>
        <v>1488</v>
      </c>
    </row>
    <row r="41" spans="2:7" ht="30" x14ac:dyDescent="0.2">
      <c r="B41" s="32" t="s">
        <v>57</v>
      </c>
      <c r="C41" s="1" t="s">
        <v>58</v>
      </c>
      <c r="D41" s="1" t="s">
        <v>54</v>
      </c>
      <c r="E41" s="1">
        <v>15</v>
      </c>
      <c r="F41" s="54">
        <v>72</v>
      </c>
      <c r="G41" s="68">
        <f t="shared" si="0"/>
        <v>1080</v>
      </c>
    </row>
    <row r="42" spans="2:7" ht="30" x14ac:dyDescent="0.2">
      <c r="B42" s="32" t="s">
        <v>59</v>
      </c>
      <c r="C42" s="5" t="s">
        <v>58</v>
      </c>
      <c r="D42" s="5" t="s">
        <v>54</v>
      </c>
      <c r="E42" s="5">
        <v>15</v>
      </c>
      <c r="F42" s="56">
        <v>481</v>
      </c>
      <c r="G42" s="69">
        <f t="shared" si="0"/>
        <v>7215</v>
      </c>
    </row>
    <row r="43" spans="2:7" x14ac:dyDescent="0.2">
      <c r="B43" s="33" t="s">
        <v>531</v>
      </c>
      <c r="C43" s="8"/>
      <c r="D43" s="7"/>
      <c r="E43" s="7"/>
      <c r="F43" s="58"/>
      <c r="G43" s="70"/>
    </row>
    <row r="44" spans="2:7" ht="30" x14ac:dyDescent="0.2">
      <c r="B44" s="32" t="s">
        <v>60</v>
      </c>
      <c r="C44" s="6" t="s">
        <v>61</v>
      </c>
      <c r="D44" s="6" t="s">
        <v>54</v>
      </c>
      <c r="E44" s="6">
        <v>103</v>
      </c>
      <c r="F44" s="60">
        <v>42</v>
      </c>
      <c r="G44" s="71">
        <f t="shared" si="0"/>
        <v>4326</v>
      </c>
    </row>
    <row r="45" spans="2:7" ht="30" x14ac:dyDescent="0.2">
      <c r="B45" s="32" t="s">
        <v>62</v>
      </c>
      <c r="C45" s="1" t="s">
        <v>63</v>
      </c>
      <c r="D45" s="1" t="s">
        <v>54</v>
      </c>
      <c r="E45" s="1">
        <v>165</v>
      </c>
      <c r="F45" s="54">
        <v>19.32</v>
      </c>
      <c r="G45" s="68">
        <f t="shared" ref="G45:G75" si="1">E45*F45</f>
        <v>3187.8</v>
      </c>
    </row>
    <row r="46" spans="2:7" x14ac:dyDescent="0.2">
      <c r="B46" s="32" t="s">
        <v>64</v>
      </c>
      <c r="C46" s="5"/>
      <c r="D46" s="5" t="s">
        <v>54</v>
      </c>
      <c r="E46" s="5">
        <v>30</v>
      </c>
      <c r="F46" s="56">
        <v>249.97</v>
      </c>
      <c r="G46" s="69">
        <f t="shared" si="1"/>
        <v>7499.1</v>
      </c>
    </row>
    <row r="47" spans="2:7" x14ac:dyDescent="0.2">
      <c r="B47" s="33" t="s">
        <v>532</v>
      </c>
      <c r="C47" s="8"/>
      <c r="D47" s="7"/>
      <c r="E47" s="7"/>
      <c r="F47" s="58"/>
      <c r="G47" s="70"/>
    </row>
    <row r="48" spans="2:7" ht="30" x14ac:dyDescent="0.2">
      <c r="B48" s="32" t="s">
        <v>65</v>
      </c>
      <c r="C48" s="6" t="s">
        <v>66</v>
      </c>
      <c r="D48" s="6" t="s">
        <v>6</v>
      </c>
      <c r="E48" s="6">
        <v>8</v>
      </c>
      <c r="F48" s="60">
        <v>1142.67</v>
      </c>
      <c r="G48" s="71">
        <f t="shared" si="1"/>
        <v>9141.36</v>
      </c>
    </row>
    <row r="49" spans="2:7" ht="30" x14ac:dyDescent="0.2">
      <c r="B49" s="32" t="s">
        <v>67</v>
      </c>
      <c r="C49" s="1" t="s">
        <v>68</v>
      </c>
      <c r="D49" s="1" t="s">
        <v>6</v>
      </c>
      <c r="E49" s="1">
        <v>31</v>
      </c>
      <c r="F49" s="54">
        <v>749.45</v>
      </c>
      <c r="G49" s="68">
        <f t="shared" si="1"/>
        <v>23232.95</v>
      </c>
    </row>
    <row r="50" spans="2:7" x14ac:dyDescent="0.2">
      <c r="B50" s="32" t="s">
        <v>69</v>
      </c>
      <c r="C50" s="1" t="s">
        <v>70</v>
      </c>
      <c r="D50" s="1" t="s">
        <v>6</v>
      </c>
      <c r="E50" s="1">
        <v>18</v>
      </c>
      <c r="F50" s="54">
        <v>850</v>
      </c>
      <c r="G50" s="68">
        <f t="shared" si="1"/>
        <v>15300</v>
      </c>
    </row>
    <row r="51" spans="2:7" ht="30" x14ac:dyDescent="0.2">
      <c r="B51" s="32" t="s">
        <v>71</v>
      </c>
      <c r="C51" s="1" t="s">
        <v>72</v>
      </c>
      <c r="D51" s="1" t="s">
        <v>6</v>
      </c>
      <c r="E51" s="1">
        <v>10</v>
      </c>
      <c r="F51" s="54">
        <v>56</v>
      </c>
      <c r="G51" s="68">
        <f t="shared" si="1"/>
        <v>560</v>
      </c>
    </row>
    <row r="52" spans="2:7" x14ac:dyDescent="0.2">
      <c r="B52" s="32" t="s">
        <v>73</v>
      </c>
      <c r="C52" s="1" t="s">
        <v>74</v>
      </c>
      <c r="D52" s="1" t="s">
        <v>6</v>
      </c>
      <c r="E52" s="1">
        <v>10</v>
      </c>
      <c r="F52" s="54">
        <v>672.85</v>
      </c>
      <c r="G52" s="68">
        <f t="shared" si="1"/>
        <v>6728.5</v>
      </c>
    </row>
    <row r="53" spans="2:7" ht="30" x14ac:dyDescent="0.2">
      <c r="B53" s="32" t="s">
        <v>75</v>
      </c>
      <c r="C53" s="1" t="s">
        <v>76</v>
      </c>
      <c r="D53" s="1" t="s">
        <v>6</v>
      </c>
      <c r="E53" s="1">
        <v>2</v>
      </c>
      <c r="F53" s="54">
        <v>190.81</v>
      </c>
      <c r="G53" s="68">
        <f t="shared" si="1"/>
        <v>381.62</v>
      </c>
    </row>
    <row r="54" spans="2:7" ht="30" x14ac:dyDescent="0.2">
      <c r="B54" s="32" t="s">
        <v>77</v>
      </c>
      <c r="C54" s="1" t="s">
        <v>78</v>
      </c>
      <c r="D54" s="1" t="s">
        <v>6</v>
      </c>
      <c r="E54" s="1">
        <v>5</v>
      </c>
      <c r="F54" s="54">
        <v>138.31</v>
      </c>
      <c r="G54" s="68">
        <f t="shared" si="1"/>
        <v>691.55</v>
      </c>
    </row>
    <row r="55" spans="2:7" ht="30" x14ac:dyDescent="0.2">
      <c r="B55" s="32" t="s">
        <v>79</v>
      </c>
      <c r="C55" s="1" t="s">
        <v>80</v>
      </c>
      <c r="D55" s="1" t="s">
        <v>6</v>
      </c>
      <c r="E55" s="1">
        <v>27</v>
      </c>
      <c r="F55" s="54">
        <v>120</v>
      </c>
      <c r="G55" s="68">
        <f t="shared" si="1"/>
        <v>3240</v>
      </c>
    </row>
    <row r="56" spans="2:7" x14ac:dyDescent="0.2">
      <c r="B56" s="32" t="s">
        <v>81</v>
      </c>
      <c r="C56" s="1" t="s">
        <v>82</v>
      </c>
      <c r="D56" s="1" t="s">
        <v>6</v>
      </c>
      <c r="E56" s="1">
        <v>3</v>
      </c>
      <c r="F56" s="54">
        <v>6227.04</v>
      </c>
      <c r="G56" s="68">
        <f t="shared" si="1"/>
        <v>18681.12</v>
      </c>
    </row>
    <row r="57" spans="2:7" x14ac:dyDescent="0.2">
      <c r="B57" s="32" t="s">
        <v>83</v>
      </c>
      <c r="C57" s="1" t="s">
        <v>84</v>
      </c>
      <c r="D57" s="1" t="s">
        <v>6</v>
      </c>
      <c r="E57" s="1">
        <v>5</v>
      </c>
      <c r="F57" s="54">
        <v>5724.4</v>
      </c>
      <c r="G57" s="68">
        <f t="shared" si="1"/>
        <v>28622</v>
      </c>
    </row>
    <row r="58" spans="2:7" ht="30" x14ac:dyDescent="0.2">
      <c r="B58" s="32" t="s">
        <v>85</v>
      </c>
      <c r="C58" s="1"/>
      <c r="D58" s="1" t="s">
        <v>6</v>
      </c>
      <c r="E58" s="1">
        <v>1</v>
      </c>
      <c r="F58" s="54">
        <v>2449.7800000000002</v>
      </c>
      <c r="G58" s="68">
        <f t="shared" si="1"/>
        <v>2449.7800000000002</v>
      </c>
    </row>
    <row r="59" spans="2:7" x14ac:dyDescent="0.2">
      <c r="B59" s="32" t="s">
        <v>86</v>
      </c>
      <c r="C59" s="1" t="s">
        <v>87</v>
      </c>
      <c r="D59" s="1" t="s">
        <v>6</v>
      </c>
      <c r="E59" s="1">
        <v>8</v>
      </c>
      <c r="F59" s="54">
        <v>4000</v>
      </c>
      <c r="G59" s="68">
        <f t="shared" si="1"/>
        <v>32000</v>
      </c>
    </row>
    <row r="60" spans="2:7" ht="30" x14ac:dyDescent="0.2">
      <c r="B60" s="32" t="s">
        <v>88</v>
      </c>
      <c r="C60" s="1"/>
      <c r="D60" s="1" t="s">
        <v>6</v>
      </c>
      <c r="E60" s="1">
        <v>20</v>
      </c>
      <c r="F60" s="54">
        <v>221.23</v>
      </c>
      <c r="G60" s="68">
        <f t="shared" si="1"/>
        <v>4424.5999999999995</v>
      </c>
    </row>
    <row r="61" spans="2:7" ht="30" x14ac:dyDescent="0.2">
      <c r="B61" s="32" t="s">
        <v>89</v>
      </c>
      <c r="C61" s="1" t="s">
        <v>28</v>
      </c>
      <c r="D61" s="1" t="s">
        <v>6</v>
      </c>
      <c r="E61" s="1">
        <v>4</v>
      </c>
      <c r="F61" s="54">
        <v>37.799999999999997</v>
      </c>
      <c r="G61" s="68">
        <f t="shared" si="1"/>
        <v>151.19999999999999</v>
      </c>
    </row>
    <row r="62" spans="2:7" ht="30" x14ac:dyDescent="0.2">
      <c r="B62" s="32" t="s">
        <v>90</v>
      </c>
      <c r="C62" s="5"/>
      <c r="D62" s="5" t="s">
        <v>519</v>
      </c>
      <c r="E62" s="5">
        <v>2</v>
      </c>
      <c r="F62" s="56">
        <v>289</v>
      </c>
      <c r="G62" s="69">
        <f t="shared" si="1"/>
        <v>578</v>
      </c>
    </row>
    <row r="63" spans="2:7" ht="28.5" x14ac:dyDescent="0.2">
      <c r="B63" s="33" t="s">
        <v>91</v>
      </c>
      <c r="C63" s="8"/>
      <c r="D63" s="7"/>
      <c r="E63" s="7"/>
      <c r="F63" s="58"/>
      <c r="G63" s="70"/>
    </row>
    <row r="64" spans="2:7" x14ac:dyDescent="0.2">
      <c r="B64" s="32" t="s">
        <v>92</v>
      </c>
      <c r="C64" s="6" t="s">
        <v>93</v>
      </c>
      <c r="D64" s="6" t="s">
        <v>6</v>
      </c>
      <c r="E64" s="6">
        <v>2</v>
      </c>
      <c r="F64" s="60">
        <v>24713.15</v>
      </c>
      <c r="G64" s="71">
        <f t="shared" si="1"/>
        <v>49426.3</v>
      </c>
    </row>
    <row r="65" spans="2:7" x14ac:dyDescent="0.2">
      <c r="B65" s="32" t="s">
        <v>94</v>
      </c>
      <c r="C65" s="1" t="s">
        <v>95</v>
      </c>
      <c r="D65" s="1" t="s">
        <v>6</v>
      </c>
      <c r="E65" s="1">
        <v>1</v>
      </c>
      <c r="F65" s="54">
        <v>7413.95</v>
      </c>
      <c r="G65" s="68">
        <f t="shared" si="1"/>
        <v>7413.95</v>
      </c>
    </row>
    <row r="66" spans="2:7" x14ac:dyDescent="0.2">
      <c r="B66" s="32" t="s">
        <v>96</v>
      </c>
      <c r="C66" s="5" t="s">
        <v>97</v>
      </c>
      <c r="D66" s="5" t="s">
        <v>6</v>
      </c>
      <c r="E66" s="5">
        <v>1</v>
      </c>
      <c r="F66" s="56">
        <v>3314.4</v>
      </c>
      <c r="G66" s="69">
        <f t="shared" si="1"/>
        <v>3314.4</v>
      </c>
    </row>
    <row r="67" spans="2:7" x14ac:dyDescent="0.2">
      <c r="B67" s="33" t="s">
        <v>98</v>
      </c>
      <c r="C67" s="10"/>
      <c r="D67" s="11"/>
      <c r="E67" s="11"/>
      <c r="F67" s="77"/>
      <c r="G67" s="78"/>
    </row>
    <row r="68" spans="2:7" ht="90" x14ac:dyDescent="0.2">
      <c r="B68" s="34" t="s">
        <v>534</v>
      </c>
      <c r="C68" s="12"/>
      <c r="D68" s="13"/>
      <c r="E68" s="13"/>
      <c r="F68" s="79"/>
      <c r="G68" s="80"/>
    </row>
    <row r="69" spans="2:7" x14ac:dyDescent="0.2">
      <c r="B69" s="32" t="s">
        <v>533</v>
      </c>
      <c r="C69" s="6" t="s">
        <v>52</v>
      </c>
      <c r="D69" s="6" t="s">
        <v>37</v>
      </c>
      <c r="E69" s="6">
        <v>5.0000000000000001E-3</v>
      </c>
      <c r="F69" s="60">
        <v>258880.66</v>
      </c>
      <c r="G69" s="71">
        <f>E69*F69</f>
        <v>1294.4032999999999</v>
      </c>
    </row>
    <row r="70" spans="2:7" x14ac:dyDescent="0.2">
      <c r="B70" s="32" t="s">
        <v>99</v>
      </c>
      <c r="C70" s="1" t="s">
        <v>52</v>
      </c>
      <c r="D70" s="1" t="s">
        <v>37</v>
      </c>
      <c r="E70" s="1">
        <v>0.2</v>
      </c>
      <c r="F70" s="54">
        <v>468307.77</v>
      </c>
      <c r="G70" s="68">
        <f>E70*F70</f>
        <v>93661.554000000004</v>
      </c>
    </row>
    <row r="71" spans="2:7" x14ac:dyDescent="0.2">
      <c r="B71" s="32" t="s">
        <v>100</v>
      </c>
      <c r="C71" s="5" t="s">
        <v>52</v>
      </c>
      <c r="D71" s="5" t="s">
        <v>37</v>
      </c>
      <c r="E71" s="5">
        <v>2E-3</v>
      </c>
      <c r="F71" s="56">
        <v>407818.36</v>
      </c>
      <c r="G71" s="69">
        <f t="shared" si="1"/>
        <v>815.63671999999997</v>
      </c>
    </row>
    <row r="72" spans="2:7" x14ac:dyDescent="0.2">
      <c r="B72" s="33" t="s">
        <v>101</v>
      </c>
      <c r="C72" s="8"/>
      <c r="D72" s="7"/>
      <c r="E72" s="7"/>
      <c r="F72" s="58"/>
      <c r="G72" s="70"/>
    </row>
    <row r="73" spans="2:7" ht="30" x14ac:dyDescent="0.2">
      <c r="B73" s="32" t="s">
        <v>102</v>
      </c>
      <c r="C73" s="14" t="s">
        <v>103</v>
      </c>
      <c r="D73" s="14" t="s">
        <v>37</v>
      </c>
      <c r="E73" s="14">
        <v>0.09</v>
      </c>
      <c r="F73" s="81">
        <v>99830</v>
      </c>
      <c r="G73" s="82">
        <f t="shared" si="1"/>
        <v>8984.6999999999989</v>
      </c>
    </row>
    <row r="74" spans="2:7" x14ac:dyDescent="0.2">
      <c r="B74" s="33" t="s">
        <v>104</v>
      </c>
      <c r="C74" s="8"/>
      <c r="D74" s="7"/>
      <c r="E74" s="7"/>
      <c r="F74" s="58"/>
      <c r="G74" s="70"/>
    </row>
    <row r="75" spans="2:7" ht="15.75" thickBot="1" x14ac:dyDescent="0.25">
      <c r="B75" s="35" t="s">
        <v>29</v>
      </c>
      <c r="C75" s="36"/>
      <c r="D75" s="36" t="s">
        <v>105</v>
      </c>
      <c r="E75" s="36">
        <v>4</v>
      </c>
      <c r="F75" s="83">
        <v>1832</v>
      </c>
      <c r="G75" s="84">
        <f t="shared" si="1"/>
        <v>7328</v>
      </c>
    </row>
    <row r="76" spans="2:7" x14ac:dyDescent="0.2">
      <c r="E76" s="15"/>
      <c r="F76" s="85"/>
      <c r="G76" s="86"/>
    </row>
    <row r="77" spans="2:7" x14ac:dyDescent="0.2">
      <c r="E77" s="15"/>
      <c r="F77" s="85"/>
      <c r="G77" s="86"/>
    </row>
    <row r="78" spans="2:7" x14ac:dyDescent="0.2">
      <c r="E78" s="15"/>
      <c r="F78" s="85"/>
      <c r="G78" s="86"/>
    </row>
    <row r="79" spans="2:7" ht="15.75" thickBot="1" x14ac:dyDescent="0.25">
      <c r="E79" s="15"/>
      <c r="F79" s="85"/>
      <c r="G79" s="86"/>
    </row>
    <row r="80" spans="2:7" ht="15.75" thickBot="1" x14ac:dyDescent="0.25">
      <c r="E80" s="15"/>
      <c r="F80" s="85"/>
      <c r="G80" s="87">
        <f>SUM(G2:G75)</f>
        <v>727897.63861999987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6685-748C-4C00-BCFA-16DCDCE632FF}">
  <dimension ref="B2:L77"/>
  <sheetViews>
    <sheetView tabSelected="1" topLeftCell="A56" workbookViewId="0">
      <selection activeCell="N71" sqref="M71:N71"/>
    </sheetView>
  </sheetViews>
  <sheetFormatPr defaultRowHeight="15" x14ac:dyDescent="0.2"/>
  <cols>
    <col min="1" max="1" width="9.33203125" style="19"/>
    <col min="2" max="2" width="51.5" style="28" customWidth="1"/>
    <col min="3" max="3" width="25.6640625" style="19" customWidth="1"/>
    <col min="4" max="4" width="9.33203125" style="19"/>
    <col min="5" max="5" width="7" style="19" customWidth="1"/>
    <col min="6" max="6" width="17.83203125" style="19" customWidth="1"/>
    <col min="7" max="7" width="19" style="19" bestFit="1" customWidth="1"/>
    <col min="8" max="16384" width="9.33203125" style="19"/>
  </cols>
  <sheetData>
    <row r="2" spans="2:7" ht="15.75" thickBot="1" x14ac:dyDescent="0.25"/>
    <row r="3" spans="2:7" ht="15.75" thickBot="1" x14ac:dyDescent="0.25">
      <c r="B3" s="49" t="s">
        <v>385</v>
      </c>
      <c r="C3" s="50"/>
      <c r="D3" s="50"/>
      <c r="E3" s="50"/>
      <c r="F3" s="51"/>
    </row>
    <row r="4" spans="2:7" x14ac:dyDescent="0.2">
      <c r="B4" s="30" t="s">
        <v>386</v>
      </c>
      <c r="C4" s="31" t="s">
        <v>387</v>
      </c>
      <c r="D4" s="31" t="s">
        <v>105</v>
      </c>
      <c r="E4" s="42">
        <v>15</v>
      </c>
      <c r="F4" s="88">
        <v>7633</v>
      </c>
      <c r="G4" s="53">
        <f>E4*F4</f>
        <v>114495</v>
      </c>
    </row>
    <row r="5" spans="2:7" x14ac:dyDescent="0.2">
      <c r="B5" s="32" t="s">
        <v>388</v>
      </c>
      <c r="C5" s="1" t="s">
        <v>389</v>
      </c>
      <c r="D5" s="1" t="s">
        <v>6</v>
      </c>
      <c r="E5" s="2">
        <v>1</v>
      </c>
      <c r="F5" s="89">
        <v>14599</v>
      </c>
      <c r="G5" s="55">
        <f t="shared" ref="G5:G67" si="0">E5*F5</f>
        <v>14599</v>
      </c>
    </row>
    <row r="6" spans="2:7" x14ac:dyDescent="0.2">
      <c r="B6" s="32" t="s">
        <v>390</v>
      </c>
      <c r="C6" s="1" t="s">
        <v>391</v>
      </c>
      <c r="D6" s="1" t="s">
        <v>105</v>
      </c>
      <c r="E6" s="2">
        <v>1</v>
      </c>
      <c r="F6" s="89">
        <v>1516</v>
      </c>
      <c r="G6" s="55">
        <f t="shared" si="0"/>
        <v>1516</v>
      </c>
    </row>
    <row r="7" spans="2:7" x14ac:dyDescent="0.2">
      <c r="B7" s="32" t="s">
        <v>392</v>
      </c>
      <c r="C7" s="3"/>
      <c r="D7" s="1" t="s">
        <v>105</v>
      </c>
      <c r="E7" s="2">
        <v>30</v>
      </c>
      <c r="F7" s="89">
        <v>69</v>
      </c>
      <c r="G7" s="55">
        <f t="shared" si="0"/>
        <v>2070</v>
      </c>
    </row>
    <row r="8" spans="2:7" x14ac:dyDescent="0.2">
      <c r="B8" s="32" t="s">
        <v>237</v>
      </c>
      <c r="C8" s="1" t="s">
        <v>393</v>
      </c>
      <c r="D8" s="1" t="s">
        <v>6</v>
      </c>
      <c r="E8" s="2">
        <v>16</v>
      </c>
      <c r="F8" s="89">
        <v>1518</v>
      </c>
      <c r="G8" s="55">
        <f t="shared" si="0"/>
        <v>24288</v>
      </c>
    </row>
    <row r="9" spans="2:7" x14ac:dyDescent="0.2">
      <c r="B9" s="32" t="s">
        <v>394</v>
      </c>
      <c r="C9" s="1" t="s">
        <v>395</v>
      </c>
      <c r="D9" s="1" t="s">
        <v>6</v>
      </c>
      <c r="E9" s="2">
        <v>15</v>
      </c>
      <c r="F9" s="89">
        <v>715</v>
      </c>
      <c r="G9" s="55">
        <f t="shared" si="0"/>
        <v>10725</v>
      </c>
    </row>
    <row r="10" spans="2:7" x14ac:dyDescent="0.2">
      <c r="B10" s="32" t="s">
        <v>396</v>
      </c>
      <c r="C10" s="1" t="s">
        <v>397</v>
      </c>
      <c r="D10" s="1" t="s">
        <v>6</v>
      </c>
      <c r="E10" s="2">
        <v>15</v>
      </c>
      <c r="F10" s="89">
        <v>4047</v>
      </c>
      <c r="G10" s="55">
        <f t="shared" si="0"/>
        <v>60705</v>
      </c>
    </row>
    <row r="11" spans="2:7" x14ac:dyDescent="0.2">
      <c r="B11" s="32" t="s">
        <v>398</v>
      </c>
      <c r="C11" s="1" t="s">
        <v>399</v>
      </c>
      <c r="D11" s="1" t="s">
        <v>6</v>
      </c>
      <c r="E11" s="2">
        <v>6</v>
      </c>
      <c r="F11" s="89">
        <v>3678</v>
      </c>
      <c r="G11" s="55">
        <f t="shared" si="0"/>
        <v>22068</v>
      </c>
    </row>
    <row r="12" spans="2:7" x14ac:dyDescent="0.2">
      <c r="B12" s="32" t="s">
        <v>400</v>
      </c>
      <c r="C12" s="1" t="s">
        <v>401</v>
      </c>
      <c r="D12" s="1" t="s">
        <v>6</v>
      </c>
      <c r="E12" s="2">
        <v>15</v>
      </c>
      <c r="F12" s="89">
        <v>1400</v>
      </c>
      <c r="G12" s="55">
        <f t="shared" si="0"/>
        <v>21000</v>
      </c>
    </row>
    <row r="13" spans="2:7" x14ac:dyDescent="0.2">
      <c r="B13" s="32" t="s">
        <v>402</v>
      </c>
      <c r="C13" s="1" t="s">
        <v>403</v>
      </c>
      <c r="D13" s="1" t="s">
        <v>6</v>
      </c>
      <c r="E13" s="2">
        <v>15</v>
      </c>
      <c r="F13" s="89">
        <v>3240</v>
      </c>
      <c r="G13" s="55">
        <f t="shared" si="0"/>
        <v>48600</v>
      </c>
    </row>
    <row r="14" spans="2:7" x14ac:dyDescent="0.2">
      <c r="B14" s="32" t="s">
        <v>404</v>
      </c>
      <c r="C14" s="1" t="s">
        <v>405</v>
      </c>
      <c r="D14" s="1" t="s">
        <v>54</v>
      </c>
      <c r="E14" s="2">
        <v>400</v>
      </c>
      <c r="F14" s="89">
        <v>39.44</v>
      </c>
      <c r="G14" s="55">
        <f t="shared" si="0"/>
        <v>15776</v>
      </c>
    </row>
    <row r="15" spans="2:7" x14ac:dyDescent="0.2">
      <c r="B15" s="32" t="s">
        <v>406</v>
      </c>
      <c r="C15" s="1" t="s">
        <v>407</v>
      </c>
      <c r="D15" s="1" t="s">
        <v>54</v>
      </c>
      <c r="E15" s="2">
        <v>125</v>
      </c>
      <c r="F15" s="89">
        <v>37</v>
      </c>
      <c r="G15" s="55">
        <f t="shared" si="0"/>
        <v>4625</v>
      </c>
    </row>
    <row r="16" spans="2:7" ht="30" x14ac:dyDescent="0.2">
      <c r="B16" s="32" t="s">
        <v>408</v>
      </c>
      <c r="C16" s="1" t="s">
        <v>409</v>
      </c>
      <c r="D16" s="1" t="s">
        <v>54</v>
      </c>
      <c r="E16" s="2">
        <v>212</v>
      </c>
      <c r="F16" s="89">
        <v>60</v>
      </c>
      <c r="G16" s="55">
        <f t="shared" si="0"/>
        <v>12720</v>
      </c>
    </row>
    <row r="17" spans="2:12" x14ac:dyDescent="0.2">
      <c r="B17" s="32" t="s">
        <v>410</v>
      </c>
      <c r="C17" s="1" t="s">
        <v>58</v>
      </c>
      <c r="D17" s="1" t="s">
        <v>54</v>
      </c>
      <c r="E17" s="2">
        <v>30</v>
      </c>
      <c r="F17" s="89">
        <v>124</v>
      </c>
      <c r="G17" s="55">
        <f t="shared" si="0"/>
        <v>3720</v>
      </c>
    </row>
    <row r="18" spans="2:12" ht="30" x14ac:dyDescent="0.2">
      <c r="B18" s="32" t="s">
        <v>411</v>
      </c>
      <c r="C18" s="1" t="s">
        <v>412</v>
      </c>
      <c r="D18" s="1" t="s">
        <v>54</v>
      </c>
      <c r="E18" s="2">
        <v>120</v>
      </c>
      <c r="F18" s="89">
        <v>96.52</v>
      </c>
      <c r="G18" s="55">
        <f t="shared" si="0"/>
        <v>11582.4</v>
      </c>
    </row>
    <row r="19" spans="2:12" x14ac:dyDescent="0.2">
      <c r="B19" s="32" t="s">
        <v>413</v>
      </c>
      <c r="C19" s="3"/>
      <c r="D19" s="1" t="s">
        <v>6</v>
      </c>
      <c r="E19" s="2">
        <v>440</v>
      </c>
      <c r="F19" s="89">
        <v>4.5</v>
      </c>
      <c r="G19" s="55">
        <f t="shared" si="0"/>
        <v>1980</v>
      </c>
    </row>
    <row r="20" spans="2:12" ht="30" x14ac:dyDescent="0.2">
      <c r="B20" s="32" t="s">
        <v>414</v>
      </c>
      <c r="C20" s="3"/>
      <c r="D20" s="1" t="s">
        <v>54</v>
      </c>
      <c r="E20" s="2">
        <v>40</v>
      </c>
      <c r="F20" s="89">
        <v>19.32</v>
      </c>
      <c r="G20" s="55">
        <f t="shared" si="0"/>
        <v>772.8</v>
      </c>
    </row>
    <row r="21" spans="2:12" x14ac:dyDescent="0.2">
      <c r="B21" s="32" t="s">
        <v>415</v>
      </c>
      <c r="C21" s="3"/>
      <c r="D21" s="1" t="s">
        <v>6</v>
      </c>
      <c r="E21" s="2">
        <v>135</v>
      </c>
      <c r="F21" s="89">
        <v>3.5</v>
      </c>
      <c r="G21" s="55">
        <f t="shared" si="0"/>
        <v>472.5</v>
      </c>
    </row>
    <row r="22" spans="2:12" ht="30" x14ac:dyDescent="0.2">
      <c r="B22" s="32" t="s">
        <v>416</v>
      </c>
      <c r="C22" s="3" t="s">
        <v>520</v>
      </c>
      <c r="D22" s="1" t="s">
        <v>6</v>
      </c>
      <c r="E22" s="2">
        <v>1</v>
      </c>
      <c r="F22" s="89">
        <v>222.28</v>
      </c>
      <c r="G22" s="55">
        <f t="shared" si="0"/>
        <v>222.28</v>
      </c>
    </row>
    <row r="23" spans="2:12" ht="18" x14ac:dyDescent="0.2">
      <c r="B23" s="43" t="s">
        <v>521</v>
      </c>
      <c r="C23" s="1" t="s">
        <v>417</v>
      </c>
      <c r="D23" s="1" t="s">
        <v>54</v>
      </c>
      <c r="E23" s="2">
        <v>60</v>
      </c>
      <c r="F23" s="89">
        <v>275.35000000000002</v>
      </c>
      <c r="G23" s="55">
        <f t="shared" si="0"/>
        <v>16521</v>
      </c>
    </row>
    <row r="24" spans="2:12" ht="30" x14ac:dyDescent="0.2">
      <c r="B24" s="32" t="s">
        <v>418</v>
      </c>
      <c r="C24" s="1" t="s">
        <v>103</v>
      </c>
      <c r="D24" s="1" t="s">
        <v>54</v>
      </c>
      <c r="E24" s="2">
        <v>60</v>
      </c>
      <c r="F24" s="89">
        <v>99.83</v>
      </c>
      <c r="G24" s="55">
        <f t="shared" si="0"/>
        <v>5989.8</v>
      </c>
    </row>
    <row r="25" spans="2:12" x14ac:dyDescent="0.2">
      <c r="B25" s="43" t="s">
        <v>488</v>
      </c>
      <c r="C25" s="3" t="s">
        <v>487</v>
      </c>
      <c r="D25" s="3" t="s">
        <v>6</v>
      </c>
      <c r="E25" s="3">
        <v>15</v>
      </c>
      <c r="F25" s="90">
        <v>1550</v>
      </c>
      <c r="G25" s="55">
        <f t="shared" si="0"/>
        <v>23250</v>
      </c>
    </row>
    <row r="26" spans="2:12" x14ac:dyDescent="0.2">
      <c r="B26" s="32" t="s">
        <v>419</v>
      </c>
      <c r="C26" s="1" t="s">
        <v>420</v>
      </c>
      <c r="D26" s="1" t="s">
        <v>6</v>
      </c>
      <c r="E26" s="2">
        <v>1</v>
      </c>
      <c r="F26" s="89">
        <v>3825.12</v>
      </c>
      <c r="G26" s="55">
        <f t="shared" si="0"/>
        <v>3825.12</v>
      </c>
    </row>
    <row r="27" spans="2:12" x14ac:dyDescent="0.2">
      <c r="B27" s="32" t="s">
        <v>421</v>
      </c>
      <c r="C27" s="1" t="s">
        <v>422</v>
      </c>
      <c r="D27" s="1" t="s">
        <v>6</v>
      </c>
      <c r="E27" s="2">
        <v>6</v>
      </c>
      <c r="F27" s="89">
        <v>5506.8</v>
      </c>
      <c r="G27" s="55">
        <f t="shared" si="0"/>
        <v>33040.800000000003</v>
      </c>
    </row>
    <row r="28" spans="2:12" ht="30" x14ac:dyDescent="0.2">
      <c r="B28" s="43" t="s">
        <v>423</v>
      </c>
      <c r="C28" s="1" t="s">
        <v>424</v>
      </c>
      <c r="D28" s="1" t="s">
        <v>6</v>
      </c>
      <c r="E28" s="2">
        <v>6</v>
      </c>
      <c r="F28" s="89">
        <v>4467</v>
      </c>
      <c r="G28" s="55">
        <f t="shared" si="0"/>
        <v>26802</v>
      </c>
    </row>
    <row r="29" spans="2:12" x14ac:dyDescent="0.2">
      <c r="B29" s="32" t="s">
        <v>425</v>
      </c>
      <c r="C29" s="3"/>
      <c r="D29" s="1" t="s">
        <v>6</v>
      </c>
      <c r="E29" s="2">
        <v>12</v>
      </c>
      <c r="F29" s="89">
        <v>834.21</v>
      </c>
      <c r="G29" s="55">
        <f t="shared" si="0"/>
        <v>10010.52</v>
      </c>
      <c r="L29" s="29"/>
    </row>
    <row r="30" spans="2:12" ht="30" x14ac:dyDescent="0.2">
      <c r="B30" s="43" t="s">
        <v>426</v>
      </c>
      <c r="C30" s="1" t="s">
        <v>427</v>
      </c>
      <c r="D30" s="1" t="s">
        <v>6</v>
      </c>
      <c r="E30" s="2">
        <v>1</v>
      </c>
      <c r="F30" s="89">
        <v>8970</v>
      </c>
      <c r="G30" s="55">
        <f t="shared" si="0"/>
        <v>8970</v>
      </c>
    </row>
    <row r="31" spans="2:12" x14ac:dyDescent="0.2">
      <c r="B31" s="32" t="s">
        <v>109</v>
      </c>
      <c r="C31" s="3"/>
      <c r="D31" s="1" t="s">
        <v>6</v>
      </c>
      <c r="E31" s="2">
        <v>2</v>
      </c>
      <c r="F31" s="89">
        <v>2717</v>
      </c>
      <c r="G31" s="55">
        <f t="shared" si="0"/>
        <v>5434</v>
      </c>
    </row>
    <row r="32" spans="2:12" x14ac:dyDescent="0.2">
      <c r="B32" s="32" t="s">
        <v>428</v>
      </c>
      <c r="C32" s="1" t="s">
        <v>429</v>
      </c>
      <c r="D32" s="1" t="s">
        <v>6</v>
      </c>
      <c r="E32" s="2">
        <v>30</v>
      </c>
      <c r="F32" s="89">
        <v>3712</v>
      </c>
      <c r="G32" s="55">
        <f t="shared" si="0"/>
        <v>111360</v>
      </c>
    </row>
    <row r="33" spans="2:7" ht="30" x14ac:dyDescent="0.2">
      <c r="B33" s="32" t="s">
        <v>430</v>
      </c>
      <c r="C33" s="1" t="s">
        <v>431</v>
      </c>
      <c r="D33" s="1" t="s">
        <v>6</v>
      </c>
      <c r="E33" s="2">
        <v>6</v>
      </c>
      <c r="F33" s="89">
        <v>106.8</v>
      </c>
      <c r="G33" s="55">
        <f t="shared" si="0"/>
        <v>640.79999999999995</v>
      </c>
    </row>
    <row r="34" spans="2:7" x14ac:dyDescent="0.2">
      <c r="B34" s="32" t="s">
        <v>432</v>
      </c>
      <c r="C34" s="1" t="s">
        <v>433</v>
      </c>
      <c r="D34" s="1" t="s">
        <v>6</v>
      </c>
      <c r="E34" s="2">
        <v>6</v>
      </c>
      <c r="F34" s="89">
        <v>583</v>
      </c>
      <c r="G34" s="55">
        <f t="shared" si="0"/>
        <v>3498</v>
      </c>
    </row>
    <row r="35" spans="2:7" x14ac:dyDescent="0.2">
      <c r="B35" s="32" t="s">
        <v>434</v>
      </c>
      <c r="C35" s="1" t="s">
        <v>435</v>
      </c>
      <c r="D35" s="1" t="s">
        <v>6</v>
      </c>
      <c r="E35" s="2">
        <v>6</v>
      </c>
      <c r="F35" s="89">
        <v>3099</v>
      </c>
      <c r="G35" s="55">
        <f t="shared" si="0"/>
        <v>18594</v>
      </c>
    </row>
    <row r="36" spans="2:7" x14ac:dyDescent="0.2">
      <c r="B36" s="32" t="s">
        <v>436</v>
      </c>
      <c r="C36" s="1" t="s">
        <v>437</v>
      </c>
      <c r="D36" s="1" t="s">
        <v>6</v>
      </c>
      <c r="E36" s="2">
        <v>6</v>
      </c>
      <c r="F36" s="89">
        <v>8290</v>
      </c>
      <c r="G36" s="55">
        <f t="shared" si="0"/>
        <v>49740</v>
      </c>
    </row>
    <row r="37" spans="2:7" ht="30" x14ac:dyDescent="0.2">
      <c r="B37" s="32" t="s">
        <v>438</v>
      </c>
      <c r="C37" s="1" t="s">
        <v>439</v>
      </c>
      <c r="D37" s="1" t="s">
        <v>6</v>
      </c>
      <c r="E37" s="2">
        <v>1</v>
      </c>
      <c r="F37" s="89">
        <v>11375.52</v>
      </c>
      <c r="G37" s="55">
        <f t="shared" si="0"/>
        <v>11375.52</v>
      </c>
    </row>
    <row r="38" spans="2:7" x14ac:dyDescent="0.2">
      <c r="B38" s="32" t="s">
        <v>440</v>
      </c>
      <c r="C38" s="1" t="s">
        <v>441</v>
      </c>
      <c r="D38" s="1" t="s">
        <v>6</v>
      </c>
      <c r="E38" s="2">
        <v>1</v>
      </c>
      <c r="F38" s="89">
        <v>4368</v>
      </c>
      <c r="G38" s="55">
        <f t="shared" si="0"/>
        <v>4368</v>
      </c>
    </row>
    <row r="39" spans="2:7" x14ac:dyDescent="0.2">
      <c r="B39" s="43" t="s">
        <v>442</v>
      </c>
      <c r="C39" s="1" t="s">
        <v>443</v>
      </c>
      <c r="D39" s="1" t="s">
        <v>6</v>
      </c>
      <c r="E39" s="2">
        <v>1</v>
      </c>
      <c r="F39" s="89">
        <v>1407.12</v>
      </c>
      <c r="G39" s="55">
        <f t="shared" si="0"/>
        <v>1407.12</v>
      </c>
    </row>
    <row r="40" spans="2:7" x14ac:dyDescent="0.2">
      <c r="B40" s="32" t="s">
        <v>444</v>
      </c>
      <c r="C40" s="3"/>
      <c r="D40" s="1" t="s">
        <v>6</v>
      </c>
      <c r="E40" s="2">
        <v>1</v>
      </c>
      <c r="F40" s="89">
        <v>31737</v>
      </c>
      <c r="G40" s="55">
        <f t="shared" si="0"/>
        <v>31737</v>
      </c>
    </row>
    <row r="41" spans="2:7" x14ac:dyDescent="0.2">
      <c r="B41" s="32" t="s">
        <v>445</v>
      </c>
      <c r="C41" s="3"/>
      <c r="D41" s="1" t="s">
        <v>6</v>
      </c>
      <c r="E41" s="2">
        <v>1</v>
      </c>
      <c r="F41" s="89">
        <v>20534.28</v>
      </c>
      <c r="G41" s="55">
        <f t="shared" si="0"/>
        <v>20534.28</v>
      </c>
    </row>
    <row r="42" spans="2:7" ht="30" x14ac:dyDescent="0.2">
      <c r="B42" s="43" t="s">
        <v>446</v>
      </c>
      <c r="C42" s="3"/>
      <c r="D42" s="1" t="s">
        <v>6</v>
      </c>
      <c r="E42" s="2">
        <v>1</v>
      </c>
      <c r="F42" s="89">
        <v>7921</v>
      </c>
      <c r="G42" s="55">
        <f t="shared" si="0"/>
        <v>7921</v>
      </c>
    </row>
    <row r="43" spans="2:7" ht="30" x14ac:dyDescent="0.2">
      <c r="B43" s="43" t="s">
        <v>447</v>
      </c>
      <c r="C43" s="1" t="s">
        <v>443</v>
      </c>
      <c r="D43" s="1" t="s">
        <v>6</v>
      </c>
      <c r="E43" s="2">
        <v>1</v>
      </c>
      <c r="F43" s="89">
        <v>1407.12</v>
      </c>
      <c r="G43" s="55">
        <f t="shared" si="0"/>
        <v>1407.12</v>
      </c>
    </row>
    <row r="44" spans="2:7" ht="30" x14ac:dyDescent="0.2">
      <c r="B44" s="43" t="s">
        <v>448</v>
      </c>
      <c r="C44" s="1" t="s">
        <v>449</v>
      </c>
      <c r="D44" s="1" t="s">
        <v>6</v>
      </c>
      <c r="E44" s="2">
        <v>300</v>
      </c>
      <c r="F44" s="89">
        <v>26</v>
      </c>
      <c r="G44" s="55">
        <f t="shared" si="0"/>
        <v>7800</v>
      </c>
    </row>
    <row r="45" spans="2:7" ht="30" x14ac:dyDescent="0.2">
      <c r="B45" s="32" t="s">
        <v>450</v>
      </c>
      <c r="C45" s="1" t="s">
        <v>451</v>
      </c>
      <c r="D45" s="1" t="s">
        <v>54</v>
      </c>
      <c r="E45" s="2">
        <v>35</v>
      </c>
      <c r="F45" s="89">
        <v>93</v>
      </c>
      <c r="G45" s="55">
        <f t="shared" si="0"/>
        <v>3255</v>
      </c>
    </row>
    <row r="46" spans="2:7" ht="30" x14ac:dyDescent="0.2">
      <c r="B46" s="43" t="s">
        <v>452</v>
      </c>
      <c r="C46" s="1" t="s">
        <v>453</v>
      </c>
      <c r="D46" s="1" t="s">
        <v>54</v>
      </c>
      <c r="E46" s="2">
        <v>200</v>
      </c>
      <c r="F46" s="89">
        <v>50.55</v>
      </c>
      <c r="G46" s="55">
        <f t="shared" si="0"/>
        <v>10110</v>
      </c>
    </row>
    <row r="47" spans="2:7" ht="45" x14ac:dyDescent="0.2">
      <c r="B47" s="43" t="s">
        <v>454</v>
      </c>
      <c r="C47" s="1" t="s">
        <v>455</v>
      </c>
      <c r="D47" s="1" t="s">
        <v>54</v>
      </c>
      <c r="E47" s="2">
        <v>42</v>
      </c>
      <c r="F47" s="89">
        <v>106.31</v>
      </c>
      <c r="G47" s="55">
        <f t="shared" si="0"/>
        <v>4465.0200000000004</v>
      </c>
    </row>
    <row r="48" spans="2:7" ht="30" x14ac:dyDescent="0.2">
      <c r="B48" s="43" t="s">
        <v>456</v>
      </c>
      <c r="C48" s="1" t="s">
        <v>457</v>
      </c>
      <c r="D48" s="1" t="s">
        <v>54</v>
      </c>
      <c r="E48" s="2">
        <v>12</v>
      </c>
      <c r="F48" s="89">
        <v>27</v>
      </c>
      <c r="G48" s="55">
        <f t="shared" si="0"/>
        <v>324</v>
      </c>
    </row>
    <row r="49" spans="2:7" x14ac:dyDescent="0.2">
      <c r="B49" s="32" t="s">
        <v>458</v>
      </c>
      <c r="C49" s="1" t="s">
        <v>459</v>
      </c>
      <c r="D49" s="1" t="s">
        <v>54</v>
      </c>
      <c r="E49" s="2">
        <v>530</v>
      </c>
      <c r="F49" s="89">
        <v>340.31</v>
      </c>
      <c r="G49" s="55">
        <f t="shared" si="0"/>
        <v>180364.3</v>
      </c>
    </row>
    <row r="50" spans="2:7" ht="30" x14ac:dyDescent="0.2">
      <c r="B50" s="43" t="s">
        <v>460</v>
      </c>
      <c r="C50" s="2">
        <v>91920</v>
      </c>
      <c r="D50" s="1" t="s">
        <v>6</v>
      </c>
      <c r="E50" s="2">
        <v>1</v>
      </c>
      <c r="F50" s="89">
        <v>19.32</v>
      </c>
      <c r="G50" s="55">
        <f t="shared" si="0"/>
        <v>19.32</v>
      </c>
    </row>
    <row r="51" spans="2:7" x14ac:dyDescent="0.2">
      <c r="B51" s="32" t="s">
        <v>461</v>
      </c>
      <c r="C51" s="3" t="s">
        <v>462</v>
      </c>
      <c r="D51" s="1" t="s">
        <v>6</v>
      </c>
      <c r="E51" s="3">
        <v>1</v>
      </c>
      <c r="F51" s="89">
        <v>24900</v>
      </c>
      <c r="G51" s="55">
        <f t="shared" si="0"/>
        <v>24900</v>
      </c>
    </row>
    <row r="52" spans="2:7" x14ac:dyDescent="0.2">
      <c r="B52" s="32" t="s">
        <v>121</v>
      </c>
      <c r="C52" s="3" t="s">
        <v>463</v>
      </c>
      <c r="D52" s="1" t="s">
        <v>6</v>
      </c>
      <c r="E52" s="3">
        <v>1</v>
      </c>
      <c r="F52" s="89">
        <v>14500</v>
      </c>
      <c r="G52" s="55">
        <f t="shared" si="0"/>
        <v>14500</v>
      </c>
    </row>
    <row r="53" spans="2:7" x14ac:dyDescent="0.2">
      <c r="B53" s="32" t="s">
        <v>464</v>
      </c>
      <c r="C53" s="3" t="s">
        <v>465</v>
      </c>
      <c r="D53" s="1" t="s">
        <v>6</v>
      </c>
      <c r="E53" s="3">
        <v>1</v>
      </c>
      <c r="F53" s="89">
        <v>4134</v>
      </c>
      <c r="G53" s="55">
        <f t="shared" si="0"/>
        <v>4134</v>
      </c>
    </row>
    <row r="54" spans="2:7" ht="30" x14ac:dyDescent="0.2">
      <c r="B54" s="32" t="s">
        <v>466</v>
      </c>
      <c r="C54" s="3" t="s">
        <v>467</v>
      </c>
      <c r="D54" s="1" t="s">
        <v>6</v>
      </c>
      <c r="E54" s="3">
        <v>56</v>
      </c>
      <c r="F54" s="89">
        <v>1400</v>
      </c>
      <c r="G54" s="55">
        <f t="shared" si="0"/>
        <v>78400</v>
      </c>
    </row>
    <row r="55" spans="2:7" ht="30" x14ac:dyDescent="0.2">
      <c r="B55" s="32" t="s">
        <v>468</v>
      </c>
      <c r="C55" s="3" t="s">
        <v>469</v>
      </c>
      <c r="D55" s="1" t="s">
        <v>6</v>
      </c>
      <c r="E55" s="3">
        <v>70</v>
      </c>
      <c r="F55" s="89">
        <v>106.8</v>
      </c>
      <c r="G55" s="55">
        <f t="shared" si="0"/>
        <v>7476</v>
      </c>
    </row>
    <row r="56" spans="2:7" ht="30" x14ac:dyDescent="0.2">
      <c r="B56" s="32" t="s">
        <v>470</v>
      </c>
      <c r="C56" s="3" t="s">
        <v>471</v>
      </c>
      <c r="D56" s="1" t="s">
        <v>6</v>
      </c>
      <c r="E56" s="3">
        <v>1</v>
      </c>
      <c r="F56" s="89">
        <v>385</v>
      </c>
      <c r="G56" s="55">
        <f t="shared" si="0"/>
        <v>385</v>
      </c>
    </row>
    <row r="57" spans="2:7" ht="30" x14ac:dyDescent="0.2">
      <c r="B57" s="32" t="s">
        <v>472</v>
      </c>
      <c r="C57" s="3" t="s">
        <v>473</v>
      </c>
      <c r="D57" s="1" t="s">
        <v>6</v>
      </c>
      <c r="E57" s="3">
        <v>1</v>
      </c>
      <c r="F57" s="89">
        <v>795</v>
      </c>
      <c r="G57" s="55">
        <f t="shared" si="0"/>
        <v>795</v>
      </c>
    </row>
    <row r="58" spans="2:7" ht="30" x14ac:dyDescent="0.2">
      <c r="B58" s="32" t="s">
        <v>474</v>
      </c>
      <c r="C58" s="3" t="s">
        <v>475</v>
      </c>
      <c r="D58" s="1" t="s">
        <v>54</v>
      </c>
      <c r="E58" s="3">
        <v>460</v>
      </c>
      <c r="F58" s="89">
        <v>60</v>
      </c>
      <c r="G58" s="55">
        <f t="shared" si="0"/>
        <v>27600</v>
      </c>
    </row>
    <row r="59" spans="2:7" ht="30" x14ac:dyDescent="0.2">
      <c r="B59" s="32" t="s">
        <v>474</v>
      </c>
      <c r="C59" s="3" t="s">
        <v>486</v>
      </c>
      <c r="D59" s="1" t="s">
        <v>54</v>
      </c>
      <c r="E59" s="3">
        <v>15</v>
      </c>
      <c r="F59" s="90">
        <v>67.239999999999995</v>
      </c>
      <c r="G59" s="55">
        <f t="shared" si="0"/>
        <v>1008.5999999999999</v>
      </c>
    </row>
    <row r="60" spans="2:7" ht="30" x14ac:dyDescent="0.2">
      <c r="B60" s="43" t="s">
        <v>476</v>
      </c>
      <c r="C60" s="3" t="s">
        <v>477</v>
      </c>
      <c r="D60" s="1" t="s">
        <v>54</v>
      </c>
      <c r="E60" s="3">
        <v>5</v>
      </c>
      <c r="F60" s="89">
        <v>71.75</v>
      </c>
      <c r="G60" s="55">
        <f t="shared" si="0"/>
        <v>358.75</v>
      </c>
    </row>
    <row r="61" spans="2:7" ht="30" x14ac:dyDescent="0.2">
      <c r="B61" s="32" t="s">
        <v>478</v>
      </c>
      <c r="C61" s="3" t="s">
        <v>479</v>
      </c>
      <c r="D61" s="1" t="s">
        <v>54</v>
      </c>
      <c r="E61" s="3">
        <v>10</v>
      </c>
      <c r="F61" s="89">
        <v>147</v>
      </c>
      <c r="G61" s="55">
        <f t="shared" si="0"/>
        <v>1470</v>
      </c>
    </row>
    <row r="62" spans="2:7" x14ac:dyDescent="0.2">
      <c r="B62" s="32" t="s">
        <v>480</v>
      </c>
      <c r="C62" s="3" t="s">
        <v>269</v>
      </c>
      <c r="D62" s="1" t="s">
        <v>54</v>
      </c>
      <c r="E62" s="3">
        <v>350</v>
      </c>
      <c r="F62" s="89">
        <v>103</v>
      </c>
      <c r="G62" s="55">
        <f t="shared" si="0"/>
        <v>36050</v>
      </c>
    </row>
    <row r="63" spans="2:7" x14ac:dyDescent="0.2">
      <c r="B63" s="32" t="s">
        <v>480</v>
      </c>
      <c r="C63" s="3" t="s">
        <v>481</v>
      </c>
      <c r="D63" s="1" t="s">
        <v>54</v>
      </c>
      <c r="E63" s="3">
        <v>50</v>
      </c>
      <c r="F63" s="89">
        <v>184.04</v>
      </c>
      <c r="G63" s="55">
        <f t="shared" si="0"/>
        <v>9202</v>
      </c>
    </row>
    <row r="64" spans="2:7" x14ac:dyDescent="0.2">
      <c r="B64" s="32" t="s">
        <v>482</v>
      </c>
      <c r="C64" s="3" t="s">
        <v>483</v>
      </c>
      <c r="D64" s="1" t="s">
        <v>54</v>
      </c>
      <c r="E64" s="3">
        <v>5</v>
      </c>
      <c r="F64" s="89">
        <v>80</v>
      </c>
      <c r="G64" s="55">
        <f t="shared" si="0"/>
        <v>400</v>
      </c>
    </row>
    <row r="65" spans="2:7" x14ac:dyDescent="0.2">
      <c r="B65" s="32" t="s">
        <v>413</v>
      </c>
      <c r="C65" s="3"/>
      <c r="D65" s="1" t="s">
        <v>6</v>
      </c>
      <c r="E65" s="3">
        <v>270</v>
      </c>
      <c r="F65" s="89">
        <v>4.5</v>
      </c>
      <c r="G65" s="55">
        <f t="shared" si="0"/>
        <v>1215</v>
      </c>
    </row>
    <row r="66" spans="2:7" ht="30" x14ac:dyDescent="0.2">
      <c r="B66" s="32" t="s">
        <v>484</v>
      </c>
      <c r="C66" s="3"/>
      <c r="D66" s="1" t="s">
        <v>54</v>
      </c>
      <c r="E66" s="3">
        <v>85</v>
      </c>
      <c r="F66" s="89">
        <v>19.32</v>
      </c>
      <c r="G66" s="55">
        <f t="shared" si="0"/>
        <v>1642.2</v>
      </c>
    </row>
    <row r="67" spans="2:7" ht="30" x14ac:dyDescent="0.2">
      <c r="B67" s="32" t="s">
        <v>381</v>
      </c>
      <c r="C67" s="3" t="s">
        <v>103</v>
      </c>
      <c r="D67" s="1" t="s">
        <v>54</v>
      </c>
      <c r="E67" s="3">
        <v>40</v>
      </c>
      <c r="F67" s="89">
        <v>119.6</v>
      </c>
      <c r="G67" s="55">
        <f t="shared" si="0"/>
        <v>4784</v>
      </c>
    </row>
    <row r="68" spans="2:7" x14ac:dyDescent="0.2">
      <c r="B68" s="32" t="s">
        <v>382</v>
      </c>
      <c r="C68" s="3"/>
      <c r="D68" s="1" t="s">
        <v>6</v>
      </c>
      <c r="E68" s="3">
        <v>5</v>
      </c>
      <c r="F68" s="89">
        <v>138.26</v>
      </c>
      <c r="G68" s="55">
        <f t="shared" ref="G68:G70" si="1">E68*F68</f>
        <v>691.3</v>
      </c>
    </row>
    <row r="69" spans="2:7" x14ac:dyDescent="0.2">
      <c r="B69" s="32" t="s">
        <v>383</v>
      </c>
      <c r="C69" s="3"/>
      <c r="D69" s="1" t="s">
        <v>6</v>
      </c>
      <c r="E69" s="3">
        <v>1</v>
      </c>
      <c r="F69" s="89">
        <v>479</v>
      </c>
      <c r="G69" s="55">
        <f t="shared" si="1"/>
        <v>479</v>
      </c>
    </row>
    <row r="70" spans="2:7" ht="15.75" thickBot="1" x14ac:dyDescent="0.25">
      <c r="B70" s="44" t="s">
        <v>384</v>
      </c>
      <c r="C70" s="45"/>
      <c r="D70" s="46" t="s">
        <v>485</v>
      </c>
      <c r="E70" s="45">
        <v>2.2999999999999998</v>
      </c>
      <c r="F70" s="91">
        <v>1800</v>
      </c>
      <c r="G70" s="63">
        <f t="shared" si="1"/>
        <v>4140</v>
      </c>
    </row>
    <row r="71" spans="2:7" x14ac:dyDescent="0.2">
      <c r="F71" s="65"/>
      <c r="G71" s="65"/>
    </row>
    <row r="72" spans="2:7" x14ac:dyDescent="0.2">
      <c r="F72" s="65"/>
      <c r="G72" s="65"/>
    </row>
    <row r="73" spans="2:7" x14ac:dyDescent="0.2">
      <c r="F73" s="65"/>
      <c r="G73" s="65"/>
    </row>
    <row r="74" spans="2:7" x14ac:dyDescent="0.2">
      <c r="F74" s="65"/>
      <c r="G74" s="65"/>
    </row>
    <row r="75" spans="2:7" x14ac:dyDescent="0.2">
      <c r="F75" s="65"/>
      <c r="G75" s="65"/>
    </row>
    <row r="76" spans="2:7" ht="15.75" thickBot="1" x14ac:dyDescent="0.25">
      <c r="F76" s="65"/>
      <c r="G76" s="65"/>
    </row>
    <row r="77" spans="2:7" ht="15.75" thickBot="1" x14ac:dyDescent="0.25">
      <c r="F77" s="65"/>
      <c r="G77" s="66">
        <f>SUM(G4:G70)</f>
        <v>1194331.5500000003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СС</vt:lpstr>
      <vt:lpstr>СОТ</vt:lpstr>
      <vt:lpstr>АН</vt:lpstr>
      <vt:lpstr>АК</vt:lpstr>
      <vt:lpstr>СКУД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Домовой</cp:lastModifiedBy>
  <dcterms:created xsi:type="dcterms:W3CDTF">2024-07-24T11:22:38Z</dcterms:created>
  <dcterms:modified xsi:type="dcterms:W3CDTF">2024-08-05T10:27:00Z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2021-09-14T00:00:00Z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2024-07-24T00:00:00Z</vt:filetime>
  </property>
  <property fmtid="{D5CDD505-2E9C-101B-9397-08002B2CF9AE}" pid="5" name="Producer">
    <vt:lpwstr>GPL Ghostscript 9.53.3</vt:lpwstr>
  </property>
</Properties>
</file>